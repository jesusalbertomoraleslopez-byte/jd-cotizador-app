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3_MATERIALES" sheetId="3" state="visible" r:id="rId3"/>
    <sheet xmlns:r="http://schemas.openxmlformats.org/officeDocument/2006/relationships" name="4_MANO_DE_OBRA" sheetId="4" state="visible" r:id="rId4"/>
    <sheet xmlns:r="http://schemas.openxmlformats.org/officeDocument/2006/relationships" name="5_GASTOS_GENERALES" sheetId="5" state="visible" r:id="rId5"/>
    <sheet xmlns:r="http://schemas.openxmlformats.org/officeDocument/2006/relationships" name="6_SUBCONTRATOS" sheetId="6" state="visible" r:id="rId6"/>
    <sheet xmlns:r="http://schemas.openxmlformats.org/officeDocument/2006/relationships" name="7_MAQUINARIA" sheetId="7" state="visible" r:id="rId7"/>
    <sheet xmlns:r="http://schemas.openxmlformats.org/officeDocument/2006/relationships" name="4_RESUMEN" sheetId="8" state="visible" r:id="rId8"/>
    <sheet xmlns:r="http://schemas.openxmlformats.org/officeDocument/2006/relationships" name="B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FE8C29"/>
      <sz val="12"/>
    </font>
    <font>
      <name val="Segoe UI"/>
      <b val="1"/>
      <color rgb="00FFFFFF"/>
      <sz val="10"/>
    </font>
    <font>
      <name val="Segoe UI"/>
      <b val="1"/>
      <sz val="10"/>
    </font>
    <font>
      <color rgb="0064748B"/>
      <sz val="9"/>
    </font>
    <font>
      <name val="Segoe UI"/>
      <i val="1"/>
      <color rgb="00475569"/>
      <sz val="9"/>
    </font>
    <font>
      <name val="Segoe UI"/>
      <b val="1"/>
      <color rgb="00FE8C29"/>
      <sz val="11"/>
    </font>
  </fonts>
  <fills count="4">
    <fill>
      <patternFill/>
    </fill>
    <fill>
      <patternFill patternType="gray125"/>
    </fill>
    <fill>
      <patternFill patternType="solid">
        <fgColor rgb="00434E62"/>
        <bgColor rgb="00434E62"/>
      </patternFill>
    </fill>
    <fill>
      <patternFill patternType="solid">
        <fgColor rgb="00F1F5F9"/>
        <b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5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164" fontId="3" fillId="0" borderId="0" pivotButton="0" quotePrefix="0" xfId="0"/>
    <xf numFmtId="0" fontId="6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55" customWidth="1" min="3" max="3"/>
  </cols>
  <sheetData>
    <row r="1">
      <c r="A1" s="1" t="inlineStr">
        <is>
          <t>PASO 1 — SELECCIÓN DE CLIENTE Y DATOS DEL PROYECTO</t>
        </is>
      </c>
    </row>
    <row r="3">
      <c r="A3" s="2" t="inlineStr">
        <is>
          <t>Campo / Parámetro</t>
        </is>
      </c>
      <c r="B3" s="2" t="inlineStr">
        <is>
          <t>Valor Seleccionado (Presupuestador)</t>
        </is>
      </c>
      <c r="C3" s="2" t="inlineStr">
        <is>
          <t>Instrucciones de Captura</t>
        </is>
      </c>
    </row>
    <row r="4">
      <c r="A4" s="3" t="inlineStr">
        <is>
          <t>Cliente (Seleccionar de Lista)</t>
        </is>
      </c>
      <c r="B4" t="inlineStr">
        <is>
          <t>OH - GABINETES Y AUTOMATIZACION</t>
        </is>
      </c>
      <c r="C4" s="4" t="inlineStr">
        <is>
          <t>Selecciona el cliente oficial de la lista desplegable BD</t>
        </is>
      </c>
    </row>
    <row r="5">
      <c r="A5" s="3" t="inlineStr">
        <is>
          <t>Nombre del Proyecto</t>
        </is>
      </c>
      <c r="B5" t="inlineStr">
        <is>
          <t>INSTALACIÓN Y AUTOMATIZACIÓN DE LÍNEA DE PROCESO</t>
        </is>
      </c>
      <c r="C5" s="4" t="inlineStr">
        <is>
          <t>Nombre o concepto técnico oficial del proyecto</t>
        </is>
      </c>
    </row>
    <row r="6">
      <c r="A6" s="3" t="inlineStr">
        <is>
          <t>Ingeniero Responsable / Presupuestador</t>
        </is>
      </c>
      <c r="B6" t="inlineStr">
        <is>
          <t>DS</t>
        </is>
      </c>
      <c r="C6" s="4" t="inlineStr">
        <is>
          <t>Iniciales del presupuestador responsable (ej: DS, RG, JM)</t>
        </is>
      </c>
    </row>
    <row r="7">
      <c r="A7" s="3" t="inlineStr">
        <is>
          <t>Tipo de Cambio USD (FIX)</t>
        </is>
      </c>
      <c r="B7" t="n">
        <v>18</v>
      </c>
      <c r="C7" s="4" t="inlineStr">
        <is>
          <t>Tipo de cambio aplicable MXN por 1 USD</t>
        </is>
      </c>
    </row>
  </sheetData>
  <dataValidations count="1">
    <dataValidation sqref="B4" showDropDown="0" showInputMessage="0" showErrorMessage="0" allowBlank="1" type="list">
      <formula1>BD!$F$2:$F$5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68" customWidth="1" min="3" max="3"/>
  </cols>
  <sheetData>
    <row r="1">
      <c r="A1" s="1" t="inlineStr">
        <is>
          <t>PASO 2 — DEFINICIÓN DE PARTIDAS Y ESTRUCTURA WBS</t>
        </is>
      </c>
    </row>
    <row r="3">
      <c r="A3" s="2" t="inlineStr">
        <is>
          <t>N° Partida WBS</t>
        </is>
      </c>
      <c r="B3" s="2" t="inlineStr">
        <is>
          <t>Nombre / Concepto de la Partida WBS</t>
        </is>
      </c>
      <c r="C3" s="2" t="inlineStr">
        <is>
          <t>Alcance General y Especificaciones Técnicas</t>
        </is>
      </c>
    </row>
    <row r="4">
      <c r="A4" s="5" t="n">
        <v>1</v>
      </c>
      <c r="B4" s="3" t="inlineStr">
        <is>
          <t>Gabinete de Control Principal PLC</t>
        </is>
      </c>
      <c r="C4" t="inlineStr">
        <is>
          <t>Suministro, ensamble y cableado de tablero principal NEMA 12</t>
        </is>
      </c>
    </row>
    <row r="5">
      <c r="A5" s="5" t="n">
        <v>2</v>
      </c>
      <c r="B5" s="3" t="inlineStr">
        <is>
          <t>Programación de PLC y Pantalla HMI</t>
        </is>
      </c>
      <c r="C5" t="inlineStr">
        <is>
          <t>Desarrollo de lógica de control, pantallas de interfaz HMI y pruebas</t>
        </is>
      </c>
    </row>
    <row r="6">
      <c r="A6" s="5" t="n">
        <v>3</v>
      </c>
      <c r="B6" s="3" t="inlineStr">
        <is>
          <t>Instalación Eléctrica e Integración en Planta</t>
        </is>
      </c>
      <c r="C6" t="inlineStr">
        <is>
          <t>Tendido de tubería conduit, cableado de campo y puesta en marcha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38" customWidth="1" min="4" max="4"/>
    <col width="16" customWidth="1" min="7" max="7"/>
  </cols>
  <sheetData>
    <row r="1">
      <c r="A1" s="1" t="inlineStr">
        <is>
          <t>PASO 3.1 — DETALLE DE MATERIALES Y COMPONENTES POR PARTIDA</t>
        </is>
      </c>
    </row>
    <row r="3">
      <c r="A3" s="2" t="inlineStr">
        <is>
          <t>Partida N°</t>
        </is>
      </c>
      <c r="B3" s="2" t="inlineStr">
        <is>
          <t>Partida WBS (Automático)</t>
        </is>
      </c>
      <c r="C3" s="2" t="inlineStr">
        <is>
          <t>Concepto / Material</t>
        </is>
      </c>
      <c r="D3" s="2" t="inlineStr">
        <is>
          <t>Especificación / Marca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Precio Unitario</t>
        </is>
      </c>
      <c r="H3" s="2" t="inlineStr">
        <is>
          <t>Moneda (MXN/USD)</t>
        </is>
      </c>
    </row>
    <row r="4">
      <c r="A4" s="5" t="n">
        <v>1</v>
      </c>
      <c r="B4" s="6">
        <f>IFERROR(VLOOKUP(A4, WBS!A$4:B$200, 2, FALSE), "")</f>
        <v/>
      </c>
      <c r="C4" s="3" t="inlineStr">
        <is>
          <t>PLC CompactLogix 5380</t>
        </is>
      </c>
      <c r="D4" t="inlineStr">
        <is>
          <t>Allen Bradley 5069-L310ER</t>
        </is>
      </c>
      <c r="E4" t="n">
        <v>1</v>
      </c>
      <c r="F4" t="inlineStr">
        <is>
          <t>PZA</t>
        </is>
      </c>
      <c r="G4" s="7" t="n">
        <v>2500</v>
      </c>
      <c r="H4" s="5" t="inlineStr">
        <is>
          <t>USD</t>
        </is>
      </c>
    </row>
    <row r="5">
      <c r="A5" s="5" t="n">
        <v>1</v>
      </c>
      <c r="B5" s="6">
        <f>IFERROR(VLOOKUP(A5, WBS!A$4:B$200, 2, FALSE), "")</f>
        <v/>
      </c>
      <c r="C5" s="3" t="inlineStr">
        <is>
          <t>Fuente de Alimentación 24VDC 10A</t>
        </is>
      </c>
      <c r="D5" t="inlineStr">
        <is>
          <t>Phoenix Contact Quint Power</t>
        </is>
      </c>
      <c r="E5" t="n">
        <v>2</v>
      </c>
      <c r="F5" t="inlineStr">
        <is>
          <t>PZA</t>
        </is>
      </c>
      <c r="G5" s="7" t="n">
        <v>1850</v>
      </c>
      <c r="H5" s="5" t="inlineStr">
        <is>
          <t>MXN</t>
        </is>
      </c>
    </row>
    <row r="6">
      <c r="A6" s="5" t="n">
        <v>2</v>
      </c>
      <c r="B6" s="6">
        <f>IFERROR(VLOOKUP(A6, WBS!A$4:B$200, 2, FALSE), "")</f>
        <v/>
      </c>
      <c r="C6" s="3" t="inlineStr">
        <is>
          <t>Licencia de Software Studio 5000</t>
        </is>
      </c>
      <c r="D6" t="inlineStr">
        <is>
          <t>Rockwell Automation Professional</t>
        </is>
      </c>
      <c r="E6" t="n">
        <v>1</v>
      </c>
      <c r="F6" t="inlineStr">
        <is>
          <t>LIC</t>
        </is>
      </c>
      <c r="G6" s="7" t="n">
        <v>3200</v>
      </c>
      <c r="H6" s="5" t="inlineStr">
        <is>
          <t>USD</t>
        </is>
      </c>
    </row>
    <row r="7">
      <c r="B7" s="6">
        <f>IFERROR(VLOOKUP(A7, WBS!A$4:B$200, 2, FALSE), "")</f>
        <v/>
      </c>
    </row>
    <row r="8">
      <c r="B8" s="6">
        <f>IFERROR(VLOOKUP(A8, WBS!A$4:B$200, 2, FALSE), "")</f>
        <v/>
      </c>
    </row>
    <row r="9">
      <c r="B9" s="6">
        <f>IFERROR(VLOOKUP(A9, WBS!A$4:B$200, 2, FALSE), "")</f>
        <v/>
      </c>
    </row>
    <row r="10">
      <c r="B10" s="6">
        <f>IFERROR(VLOOKUP(A10, WBS!A$4:B$200, 2, FALSE), "")</f>
        <v/>
      </c>
    </row>
    <row r="11">
      <c r="B11" s="6">
        <f>IFERROR(VLOOKUP(A11, WBS!A$4:B$200, 2, FALSE), "")</f>
        <v/>
      </c>
    </row>
    <row r="12">
      <c r="B12" s="6">
        <f>IFERROR(VLOOKUP(A12, WBS!A$4:B$200, 2, FALSE), "")</f>
        <v/>
      </c>
    </row>
    <row r="13">
      <c r="B13" s="6">
        <f>IFERROR(VLOOKUP(A13, WBS!A$4:B$200, 2, FALSE), "")</f>
        <v/>
      </c>
    </row>
    <row r="14">
      <c r="B14" s="6">
        <f>IFERROR(VLOOKUP(A14, WBS!A$4:B$200, 2, FALSE), "")</f>
        <v/>
      </c>
    </row>
    <row r="15">
      <c r="B15" s="6">
        <f>IFERROR(VLOOKUP(A15, WBS!A$4:B$200, 2, FALSE), "")</f>
        <v/>
      </c>
    </row>
    <row r="16">
      <c r="B16" s="6">
        <f>IFERROR(VLOOKUP(A16, WBS!A$4:B$200, 2, FALSE), "")</f>
        <v/>
      </c>
    </row>
    <row r="17">
      <c r="B17" s="6">
        <f>IFERROR(VLOOKUP(A17, WBS!A$4:B$200, 2, FALSE), "")</f>
        <v/>
      </c>
    </row>
    <row r="18">
      <c r="B18" s="6">
        <f>IFERROR(VLOOKUP(A18, WBS!A$4:B$200, 2, FALSE), "")</f>
        <v/>
      </c>
    </row>
    <row r="19">
      <c r="B19" s="6">
        <f>IFERROR(VLOOKUP(A19, WBS!A$4:B$200, 2, FALSE), "")</f>
        <v/>
      </c>
    </row>
    <row r="20">
      <c r="B20" s="6">
        <f>IFERROR(VLOOKUP(A20, WBS!A$4:B$200, 2, FALSE), "")</f>
        <v/>
      </c>
    </row>
    <row r="21">
      <c r="B21" s="6">
        <f>IFERROR(VLOOKUP(A21, WBS!A$4:B$200, 2, FALSE), "")</f>
        <v/>
      </c>
    </row>
    <row r="22">
      <c r="B22" s="6">
        <f>IFERROR(VLOOKUP(A22, WBS!A$4:B$200, 2, FALSE), "")</f>
        <v/>
      </c>
    </row>
    <row r="23">
      <c r="B23" s="6">
        <f>IFERROR(VLOOKUP(A23, WBS!A$4:B$200, 2, FALSE), "")</f>
        <v/>
      </c>
    </row>
    <row r="24">
      <c r="B24" s="6">
        <f>IFERROR(VLOOKUP(A24, WBS!A$4:B$200, 2, FALSE), "")</f>
        <v/>
      </c>
    </row>
    <row r="25">
      <c r="B25" s="6">
        <f>IFERROR(VLOOKUP(A25, WBS!A$4:B$200, 2, FALSE), "")</f>
        <v/>
      </c>
    </row>
    <row r="26">
      <c r="B26" s="6">
        <f>IFERROR(VLOOKUP(A26, WBS!A$4:B$200, 2, FALSE), "")</f>
        <v/>
      </c>
    </row>
    <row r="27">
      <c r="B27" s="6">
        <f>IFERROR(VLOOKUP(A27, WBS!A$4:B$200, 2, FALSE), "")</f>
        <v/>
      </c>
    </row>
    <row r="28">
      <c r="B28" s="6">
        <f>IFERROR(VLOOKUP(A28, WBS!A$4:B$200, 2, FALSE), "")</f>
        <v/>
      </c>
    </row>
    <row r="29">
      <c r="B29" s="6">
        <f>IFERROR(VLOOKUP(A29, WBS!A$4:B$200, 2, FALSE), "")</f>
        <v/>
      </c>
    </row>
    <row r="30">
      <c r="B30" s="6">
        <f>IFERROR(VLOOKUP(A30, WBS!A$4:B$200, 2, FALSE), "")</f>
        <v/>
      </c>
    </row>
    <row r="31">
      <c r="B31" s="6">
        <f>IFERROR(VLOOKUP(A31, WBS!A$4:B$200, 2, FALSE), "")</f>
        <v/>
      </c>
    </row>
    <row r="32">
      <c r="B32" s="6">
        <f>IFERROR(VLOOKUP(A32, WBS!A$4:B$200, 2, FALSE), "")</f>
        <v/>
      </c>
    </row>
    <row r="33">
      <c r="B33" s="6">
        <f>IFERROR(VLOOKUP(A33, WBS!A$4:B$200, 2, FALSE), "")</f>
        <v/>
      </c>
    </row>
    <row r="34">
      <c r="B34" s="6">
        <f>IFERROR(VLOOKUP(A34, WBS!A$4:B$200, 2, FALSE), "")</f>
        <v/>
      </c>
    </row>
    <row r="35">
      <c r="B35" s="6">
        <f>IFERROR(VLOOKUP(A35, WBS!A$4:B$200, 2, FALSE), "")</f>
        <v/>
      </c>
    </row>
    <row r="36">
      <c r="B36" s="6">
        <f>IFERROR(VLOOKUP(A36, WBS!A$4:B$200, 2, FALSE), "")</f>
        <v/>
      </c>
    </row>
    <row r="37">
      <c r="B37" s="6">
        <f>IFERROR(VLOOKUP(A37, WBS!A$4:B$200, 2, FALSE), "")</f>
        <v/>
      </c>
    </row>
    <row r="38">
      <c r="B38" s="6">
        <f>IFERROR(VLOOKUP(A38, WBS!A$4:B$200, 2, FALSE), "")</f>
        <v/>
      </c>
    </row>
    <row r="39">
      <c r="B39" s="6">
        <f>IFERROR(VLOOKUP(A39, WBS!A$4:B$200, 2, FALSE), "")</f>
        <v/>
      </c>
    </row>
    <row r="40">
      <c r="B40" s="6">
        <f>IFERROR(VLOOKUP(A40, WBS!A$4:B$200, 2, FALSE), "")</f>
        <v/>
      </c>
    </row>
    <row r="41">
      <c r="B41" s="6">
        <f>IFERROR(VLOOKUP(A41, WBS!A$4:B$200, 2, FALSE), "")</f>
        <v/>
      </c>
    </row>
    <row r="42">
      <c r="B42" s="6">
        <f>IFERROR(VLOOKUP(A42, WBS!A$4:B$200, 2, FALSE), "")</f>
        <v/>
      </c>
    </row>
    <row r="43">
      <c r="B43" s="6">
        <f>IFERROR(VLOOKUP(A43, WBS!A$4:B$200, 2, FALSE), "")</f>
        <v/>
      </c>
    </row>
    <row r="44">
      <c r="B44" s="6">
        <f>IFERROR(VLOOKUP(A44, WBS!A$4:B$200, 2, FALSE), "")</f>
        <v/>
      </c>
    </row>
    <row r="45">
      <c r="B45" s="6">
        <f>IFERROR(VLOOKUP(A45, WBS!A$4:B$200, 2, FALSE), "")</f>
        <v/>
      </c>
    </row>
    <row r="46">
      <c r="B46" s="6">
        <f>IFERROR(VLOOKUP(A46, WBS!A$4:B$200, 2, FALSE), "")</f>
        <v/>
      </c>
    </row>
    <row r="47">
      <c r="B47" s="6">
        <f>IFERROR(VLOOKUP(A47, WBS!A$4:B$200, 2, FALSE), "")</f>
        <v/>
      </c>
    </row>
    <row r="48">
      <c r="B48" s="6">
        <f>IFERROR(VLOOKUP(A48, WBS!A$4:B$200, 2, FALSE), "")</f>
        <v/>
      </c>
    </row>
    <row r="49">
      <c r="B49" s="6">
        <f>IFERROR(VLOOKUP(A49, WBS!A$4:B$200, 2, FALSE), "")</f>
        <v/>
      </c>
    </row>
    <row r="50">
      <c r="B50" s="6">
        <f>IFERROR(VLOOKUP(A50, WBS!A$4:B$200, 2, FALSE), "")</f>
        <v/>
      </c>
    </row>
    <row r="51">
      <c r="B51" s="6">
        <f>IFERROR(VLOOKUP(A51, WBS!A$4:B$200, 2, FALSE), "")</f>
        <v/>
      </c>
    </row>
    <row r="52">
      <c r="B52" s="6">
        <f>IFERROR(VLOOKUP(A52, WBS!A$4:B$200, 2, FALSE), "")</f>
        <v/>
      </c>
    </row>
    <row r="53">
      <c r="B53" s="6">
        <f>IFERROR(VLOOKUP(A53, WBS!A$4:B$200, 2, FALSE), "")</f>
        <v/>
      </c>
    </row>
    <row r="54">
      <c r="B54" s="6">
        <f>IFERROR(VLOOKUP(A54, WBS!A$4:B$200, 2, FALSE), "")</f>
        <v/>
      </c>
    </row>
    <row r="55">
      <c r="B55" s="6">
        <f>IFERROR(VLOOKUP(A55, WBS!A$4:B$200, 2, FALSE), "")</f>
        <v/>
      </c>
    </row>
    <row r="56">
      <c r="B56" s="6">
        <f>IFERROR(VLOOKUP(A56, WBS!A$4:B$200, 2, FALSE), "")</f>
        <v/>
      </c>
    </row>
    <row r="57">
      <c r="B57" s="6">
        <f>IFERROR(VLOOKUP(A57, WBS!A$4:B$200, 2, FALSE), "")</f>
        <v/>
      </c>
    </row>
    <row r="58">
      <c r="B58" s="6">
        <f>IFERROR(VLOOKUP(A58, WBS!A$4:B$200, 2, FALSE), "")</f>
        <v/>
      </c>
    </row>
    <row r="59">
      <c r="B59" s="6">
        <f>IFERROR(VLOOKUP(A59, WBS!A$4:B$200, 2, FALSE), "")</f>
        <v/>
      </c>
    </row>
    <row r="60">
      <c r="B60" s="6">
        <f>IFERROR(VLOOKUP(A60, WBS!A$4:B$200, 2, FALSE), "")</f>
        <v/>
      </c>
    </row>
    <row r="61">
      <c r="B61" s="6">
        <f>IFERROR(VLOOKUP(A61, WBS!A$4:B$200, 2, FALSE), "")</f>
        <v/>
      </c>
    </row>
    <row r="62">
      <c r="B62" s="6">
        <f>IFERROR(VLOOKUP(A62, WBS!A$4:B$200, 2, FALSE), "")</f>
        <v/>
      </c>
    </row>
    <row r="63">
      <c r="B63" s="6">
        <f>IFERROR(VLOOKUP(A63, WBS!A$4:B$200, 2, FALSE), "")</f>
        <v/>
      </c>
    </row>
    <row r="64">
      <c r="B64" s="6">
        <f>IFERROR(VLOOKUP(A64, WBS!A$4:B$200, 2, FALSE), "")</f>
        <v/>
      </c>
    </row>
    <row r="65">
      <c r="B65" s="6">
        <f>IFERROR(VLOOKUP(A65, WBS!A$4:B$200, 2, FALSE), "")</f>
        <v/>
      </c>
    </row>
    <row r="66">
      <c r="B66" s="6">
        <f>IFERROR(VLOOKUP(A66, WBS!A$4:B$200, 2, FALSE), "")</f>
        <v/>
      </c>
    </row>
    <row r="67">
      <c r="B67" s="6">
        <f>IFERROR(VLOOKUP(A67, WBS!A$4:B$200, 2, FALSE), "")</f>
        <v/>
      </c>
    </row>
    <row r="68">
      <c r="B68" s="6">
        <f>IFERROR(VLOOKUP(A68, WBS!A$4:B$200, 2, FALSE), "")</f>
        <v/>
      </c>
    </row>
    <row r="69">
      <c r="B69" s="6">
        <f>IFERROR(VLOOKUP(A69, WBS!A$4:B$200, 2, FALSE), "")</f>
        <v/>
      </c>
    </row>
    <row r="70">
      <c r="B70" s="6">
        <f>IFERROR(VLOOKUP(A70, WBS!A$4:B$200, 2, FALSE), "")</f>
        <v/>
      </c>
    </row>
    <row r="71">
      <c r="B71" s="6">
        <f>IFERROR(VLOOKUP(A71, WBS!A$4:B$200, 2, FALSE), "")</f>
        <v/>
      </c>
    </row>
    <row r="72">
      <c r="B72" s="6">
        <f>IFERROR(VLOOKUP(A72, WBS!A$4:B$200, 2, FALSE), "")</f>
        <v/>
      </c>
    </row>
    <row r="73">
      <c r="B73" s="6">
        <f>IFERROR(VLOOKUP(A73, WBS!A$4:B$200, 2, FALSE), "")</f>
        <v/>
      </c>
    </row>
    <row r="74">
      <c r="B74" s="6">
        <f>IFERROR(VLOOKUP(A74, WBS!A$4:B$200, 2, FALSE), "")</f>
        <v/>
      </c>
    </row>
    <row r="75">
      <c r="B75" s="6">
        <f>IFERROR(VLOOKUP(A75, WBS!A$4:B$200, 2, FALSE), "")</f>
        <v/>
      </c>
    </row>
    <row r="76">
      <c r="B76" s="6">
        <f>IFERROR(VLOOKUP(A76, WBS!A$4:B$200, 2, FALSE), "")</f>
        <v/>
      </c>
    </row>
    <row r="77">
      <c r="B77" s="6">
        <f>IFERROR(VLOOKUP(A77, WBS!A$4:B$200, 2, FALSE), "")</f>
        <v/>
      </c>
    </row>
    <row r="78">
      <c r="B78" s="6">
        <f>IFERROR(VLOOKUP(A78, WBS!A$4:B$200, 2, FALSE), "")</f>
        <v/>
      </c>
    </row>
    <row r="79">
      <c r="B79" s="6">
        <f>IFERROR(VLOOKUP(A79, WBS!A$4:B$200, 2, FALSE), "")</f>
        <v/>
      </c>
    </row>
    <row r="80">
      <c r="B80" s="6">
        <f>IFERROR(VLOOKUP(A80, WBS!A$4:B$200, 2, FALSE), "")</f>
        <v/>
      </c>
    </row>
    <row r="81">
      <c r="B81" s="6">
        <f>IFERROR(VLOOKUP(A81, WBS!A$4:B$200, 2, FALSE), "")</f>
        <v/>
      </c>
    </row>
    <row r="82">
      <c r="B82" s="6">
        <f>IFERROR(VLOOKUP(A82, WBS!A$4:B$200, 2, FALSE), "")</f>
        <v/>
      </c>
    </row>
    <row r="83">
      <c r="B83" s="6">
        <f>IFERROR(VLOOKUP(A83, WBS!A$4:B$200, 2, FALSE), "")</f>
        <v/>
      </c>
    </row>
    <row r="84">
      <c r="B84" s="6">
        <f>IFERROR(VLOOKUP(A84, WBS!A$4:B$200, 2, FALSE), "")</f>
        <v/>
      </c>
    </row>
    <row r="85">
      <c r="B85" s="6">
        <f>IFERROR(VLOOKUP(A85, WBS!A$4:B$200, 2, FALSE), "")</f>
        <v/>
      </c>
    </row>
    <row r="86">
      <c r="B86" s="6">
        <f>IFERROR(VLOOKUP(A86, WBS!A$4:B$200, 2, FALSE), "")</f>
        <v/>
      </c>
    </row>
    <row r="87">
      <c r="B87" s="6">
        <f>IFERROR(VLOOKUP(A87, WBS!A$4:B$200, 2, FALSE), "")</f>
        <v/>
      </c>
    </row>
    <row r="88">
      <c r="B88" s="6">
        <f>IFERROR(VLOOKUP(A88, WBS!A$4:B$200, 2, FALSE), "")</f>
        <v/>
      </c>
    </row>
    <row r="89">
      <c r="B89" s="6">
        <f>IFERROR(VLOOKUP(A89, WBS!A$4:B$200, 2, FALSE), "")</f>
        <v/>
      </c>
    </row>
    <row r="90">
      <c r="B90" s="6">
        <f>IFERROR(VLOOKUP(A90, WBS!A$4:B$200, 2, FALSE), "")</f>
        <v/>
      </c>
    </row>
    <row r="91">
      <c r="B91" s="6">
        <f>IFERROR(VLOOKUP(A91, WBS!A$4:B$200, 2, FALSE), "")</f>
        <v/>
      </c>
    </row>
    <row r="92">
      <c r="B92" s="6">
        <f>IFERROR(VLOOKUP(A92, WBS!A$4:B$200, 2, FALSE), "")</f>
        <v/>
      </c>
    </row>
    <row r="93">
      <c r="B93" s="6">
        <f>IFERROR(VLOOKUP(A93, WBS!A$4:B$200, 2, FALSE), "")</f>
        <v/>
      </c>
    </row>
    <row r="94">
      <c r="B94" s="6">
        <f>IFERROR(VLOOKUP(A94, WBS!A$4:B$200, 2, FALSE), "")</f>
        <v/>
      </c>
    </row>
    <row r="95">
      <c r="B95" s="6">
        <f>IFERROR(VLOOKUP(A95, WBS!A$4:B$200, 2, FALSE), "")</f>
        <v/>
      </c>
    </row>
    <row r="96">
      <c r="B96" s="6">
        <f>IFERROR(VLOOKUP(A96, WBS!A$4:B$200, 2, FALSE), "")</f>
        <v/>
      </c>
    </row>
    <row r="97">
      <c r="B97" s="6">
        <f>IFERROR(VLOOKUP(A97, WBS!A$4:B$200, 2, FALSE), "")</f>
        <v/>
      </c>
    </row>
    <row r="98">
      <c r="B98" s="6">
        <f>IFERROR(VLOOKUP(A98, WBS!A$4:B$200, 2, FALSE), "")</f>
        <v/>
      </c>
    </row>
    <row r="99">
      <c r="B99" s="6">
        <f>IFERROR(VLOOKUP(A99, WBS!A$4:B$200, 2, FALSE), "")</f>
        <v/>
      </c>
    </row>
    <row r="100">
      <c r="B100" s="6">
        <f>IFERROR(VLOOKUP(A100, WBS!A$4:B$200, 2, FALSE), "")</f>
        <v/>
      </c>
    </row>
    <row r="101">
      <c r="B101" s="6">
        <f>IFERROR(VLOOKUP(A101, WBS!A$4:B$200, 2, FALSE), "")</f>
        <v/>
      </c>
    </row>
    <row r="102">
      <c r="B102" s="6">
        <f>IFERROR(VLOOKUP(A102, WBS!A$4:B$200, 2, FALSE), "")</f>
        <v/>
      </c>
    </row>
    <row r="103">
      <c r="B103" s="6">
        <f>IFERROR(VLOOKUP(A103, WBS!A$4:B$200, 2, FALSE), "")</f>
        <v/>
      </c>
    </row>
    <row r="104">
      <c r="B104" s="6">
        <f>IFERROR(VLOOKUP(A104, WBS!A$4:B$200, 2, FALSE), "")</f>
        <v/>
      </c>
    </row>
    <row r="105">
      <c r="B105" s="6">
        <f>IFERROR(VLOOKUP(A105, WBS!A$4:B$200, 2, FALSE), "")</f>
        <v/>
      </c>
    </row>
    <row r="106">
      <c r="B106" s="6">
        <f>IFERROR(VLOOKUP(A106, WBS!A$4:B$200, 2, FALSE), "")</f>
        <v/>
      </c>
    </row>
    <row r="107">
      <c r="B107" s="6">
        <f>IFERROR(VLOOKUP(A107, WBS!A$4:B$200, 2, FALSE), "")</f>
        <v/>
      </c>
    </row>
    <row r="108">
      <c r="B108" s="6">
        <f>IFERROR(VLOOKUP(A108, WBS!A$4:B$200, 2, FALSE), "")</f>
        <v/>
      </c>
    </row>
    <row r="109">
      <c r="B109" s="6">
        <f>IFERROR(VLOOKUP(A109, WBS!A$4:B$200, 2, FALSE), "")</f>
        <v/>
      </c>
    </row>
    <row r="110">
      <c r="B110" s="6">
        <f>IFERROR(VLOOKUP(A110, WBS!A$4:B$200, 2, FALSE), "")</f>
        <v/>
      </c>
    </row>
    <row r="111">
      <c r="B111" s="6">
        <f>IFERROR(VLOOKUP(A111, WBS!A$4:B$200, 2, FALSE), "")</f>
        <v/>
      </c>
    </row>
    <row r="112">
      <c r="B112" s="6">
        <f>IFERROR(VLOOKUP(A112, WBS!A$4:B$200, 2, FALSE), "")</f>
        <v/>
      </c>
    </row>
    <row r="113">
      <c r="B113" s="6">
        <f>IFERROR(VLOOKUP(A113, WBS!A$4:B$200, 2, FALSE), "")</f>
        <v/>
      </c>
    </row>
    <row r="114">
      <c r="B114" s="6">
        <f>IFERROR(VLOOKUP(A114, WBS!A$4:B$200, 2, FALSE), "")</f>
        <v/>
      </c>
    </row>
    <row r="115">
      <c r="B115" s="6">
        <f>IFERROR(VLOOKUP(A115, WBS!A$4:B$200, 2, FALSE), "")</f>
        <v/>
      </c>
    </row>
    <row r="116">
      <c r="B116" s="6">
        <f>IFERROR(VLOOKUP(A116, WBS!A$4:B$200, 2, FALSE), "")</f>
        <v/>
      </c>
    </row>
    <row r="117">
      <c r="B117" s="6">
        <f>IFERROR(VLOOKUP(A117, WBS!A$4:B$200, 2, FALSE), "")</f>
        <v/>
      </c>
    </row>
    <row r="118">
      <c r="B118" s="6">
        <f>IFERROR(VLOOKUP(A118, WBS!A$4:B$200, 2, FALSE), "")</f>
        <v/>
      </c>
    </row>
    <row r="119">
      <c r="B119" s="6">
        <f>IFERROR(VLOOKUP(A119, WBS!A$4:B$200, 2, FALSE), "")</f>
        <v/>
      </c>
    </row>
    <row r="120">
      <c r="B120" s="6">
        <f>IFERROR(VLOOKUP(A120, WBS!A$4:B$200, 2, FALSE), "")</f>
        <v/>
      </c>
    </row>
    <row r="121">
      <c r="B121" s="6">
        <f>IFERROR(VLOOKUP(A121, WBS!A$4:B$200, 2, FALSE), "")</f>
        <v/>
      </c>
    </row>
    <row r="122">
      <c r="B122" s="6">
        <f>IFERROR(VLOOKUP(A122, WBS!A$4:B$200, 2, FALSE), "")</f>
        <v/>
      </c>
    </row>
    <row r="123">
      <c r="B123" s="6">
        <f>IFERROR(VLOOKUP(A123, WBS!A$4:B$200, 2, FALSE), "")</f>
        <v/>
      </c>
    </row>
    <row r="124">
      <c r="B124" s="6">
        <f>IFERROR(VLOOKUP(A124, WBS!A$4:B$200, 2, FALSE), "")</f>
        <v/>
      </c>
    </row>
    <row r="125">
      <c r="B125" s="6">
        <f>IFERROR(VLOOKUP(A125, WBS!A$4:B$200, 2, FALSE), "")</f>
        <v/>
      </c>
    </row>
    <row r="126">
      <c r="B126" s="6">
        <f>IFERROR(VLOOKUP(A126, WBS!A$4:B$200, 2, FALSE), "")</f>
        <v/>
      </c>
    </row>
    <row r="127">
      <c r="B127" s="6">
        <f>IFERROR(VLOOKUP(A127, WBS!A$4:B$200, 2, FALSE), "")</f>
        <v/>
      </c>
    </row>
    <row r="128">
      <c r="B128" s="6">
        <f>IFERROR(VLOOKUP(A128, WBS!A$4:B$200, 2, FALSE), "")</f>
        <v/>
      </c>
    </row>
    <row r="129">
      <c r="B129" s="6">
        <f>IFERROR(VLOOKUP(A129, WBS!A$4:B$200, 2, FALSE), "")</f>
        <v/>
      </c>
    </row>
    <row r="130">
      <c r="B130" s="6">
        <f>IFERROR(VLOOKUP(A130, WBS!A$4:B$200, 2, FALSE), "")</f>
        <v/>
      </c>
    </row>
    <row r="131">
      <c r="B131" s="6">
        <f>IFERROR(VLOOKUP(A131, WBS!A$4:B$200, 2, FALSE), "")</f>
        <v/>
      </c>
    </row>
    <row r="132">
      <c r="B132" s="6">
        <f>IFERROR(VLOOKUP(A132, WBS!A$4:B$200, 2, FALSE), "")</f>
        <v/>
      </c>
    </row>
    <row r="133">
      <c r="B133" s="6">
        <f>IFERROR(VLOOKUP(A133, WBS!A$4:B$200, 2, FALSE), "")</f>
        <v/>
      </c>
    </row>
    <row r="134">
      <c r="B134" s="6">
        <f>IFERROR(VLOOKUP(A134, WBS!A$4:B$200, 2, FALSE), "")</f>
        <v/>
      </c>
    </row>
    <row r="135">
      <c r="B135" s="6">
        <f>IFERROR(VLOOKUP(A135, WBS!A$4:B$200, 2, FALSE), "")</f>
        <v/>
      </c>
    </row>
    <row r="136">
      <c r="B136" s="6">
        <f>IFERROR(VLOOKUP(A136, WBS!A$4:B$200, 2, FALSE), "")</f>
        <v/>
      </c>
    </row>
    <row r="137">
      <c r="B137" s="6">
        <f>IFERROR(VLOOKUP(A137, WBS!A$4:B$200, 2, FALSE), "")</f>
        <v/>
      </c>
    </row>
    <row r="138">
      <c r="B138" s="6">
        <f>IFERROR(VLOOKUP(A138, WBS!A$4:B$200, 2, FALSE), "")</f>
        <v/>
      </c>
    </row>
    <row r="139">
      <c r="B139" s="6">
        <f>IFERROR(VLOOKUP(A139, WBS!A$4:B$200, 2, FALSE), "")</f>
        <v/>
      </c>
    </row>
    <row r="140">
      <c r="B140" s="6">
        <f>IFERROR(VLOOKUP(A140, WBS!A$4:B$200, 2, FALSE), "")</f>
        <v/>
      </c>
    </row>
    <row r="141">
      <c r="B141" s="6">
        <f>IFERROR(VLOOKUP(A141, WBS!A$4:B$200, 2, FALSE), "")</f>
        <v/>
      </c>
    </row>
    <row r="142">
      <c r="B142" s="6">
        <f>IFERROR(VLOOKUP(A142, WBS!A$4:B$200, 2, FALSE), "")</f>
        <v/>
      </c>
    </row>
    <row r="143">
      <c r="B143" s="6">
        <f>IFERROR(VLOOKUP(A143, WBS!A$4:B$200, 2, FALSE), "")</f>
        <v/>
      </c>
    </row>
    <row r="144">
      <c r="B144" s="6">
        <f>IFERROR(VLOOKUP(A144, WBS!A$4:B$200, 2, FALSE), "")</f>
        <v/>
      </c>
    </row>
    <row r="145">
      <c r="B145" s="6">
        <f>IFERROR(VLOOKUP(A145, WBS!A$4:B$200, 2, FALSE), "")</f>
        <v/>
      </c>
    </row>
    <row r="146">
      <c r="B146" s="6">
        <f>IFERROR(VLOOKUP(A146, WBS!A$4:B$200, 2, FALSE), "")</f>
        <v/>
      </c>
    </row>
    <row r="147">
      <c r="B147" s="6">
        <f>IFERROR(VLOOKUP(A147, WBS!A$4:B$200, 2, FALSE), "")</f>
        <v/>
      </c>
    </row>
    <row r="148">
      <c r="B148" s="6">
        <f>IFERROR(VLOOKUP(A148, WBS!A$4:B$200, 2, FALSE), "")</f>
        <v/>
      </c>
    </row>
    <row r="149">
      <c r="B149" s="6">
        <f>IFERROR(VLOOKUP(A149, WBS!A$4:B$200, 2, FALSE), "")</f>
        <v/>
      </c>
    </row>
    <row r="150">
      <c r="B150" s="6">
        <f>IFERROR(VLOOKUP(A150, WBS!A$4:B$200, 2, FALSE), "")</f>
        <v/>
      </c>
    </row>
    <row r="151">
      <c r="B151" s="6">
        <f>IFERROR(VLOOKUP(A151, WBS!A$4:B$200, 2, FALSE), "")</f>
        <v/>
      </c>
    </row>
    <row r="152">
      <c r="B152" s="6">
        <f>IFERROR(VLOOKUP(A152, WBS!A$4:B$200, 2, FALSE), "")</f>
        <v/>
      </c>
    </row>
    <row r="153">
      <c r="B153" s="6">
        <f>IFERROR(VLOOKUP(A153, WBS!A$4:B$200, 2, FALSE), "")</f>
        <v/>
      </c>
    </row>
    <row r="154">
      <c r="B154" s="6">
        <f>IFERROR(VLOOKUP(A154, WBS!A$4:B$200, 2, FALSE), "")</f>
        <v/>
      </c>
    </row>
    <row r="155">
      <c r="B155" s="6">
        <f>IFERROR(VLOOKUP(A155, WBS!A$4:B$200, 2, FALSE), "")</f>
        <v/>
      </c>
    </row>
    <row r="156">
      <c r="B156" s="6">
        <f>IFERROR(VLOOKUP(A156, WBS!A$4:B$200, 2, FALSE), "")</f>
        <v/>
      </c>
    </row>
    <row r="157">
      <c r="B157" s="6">
        <f>IFERROR(VLOOKUP(A157, WBS!A$4:B$200, 2, FALSE), "")</f>
        <v/>
      </c>
    </row>
    <row r="158">
      <c r="B158" s="6">
        <f>IFERROR(VLOOKUP(A158, WBS!A$4:B$200, 2, FALSE), "")</f>
        <v/>
      </c>
    </row>
    <row r="159">
      <c r="B159" s="6">
        <f>IFERROR(VLOOKUP(A159, WBS!A$4:B$200, 2, FALSE), "")</f>
        <v/>
      </c>
    </row>
    <row r="160">
      <c r="B160" s="6">
        <f>IFERROR(VLOOKUP(A160, WBS!A$4:B$200, 2, FALSE), "")</f>
        <v/>
      </c>
    </row>
    <row r="161">
      <c r="B161" s="6">
        <f>IFERROR(VLOOKUP(A161, WBS!A$4:B$200, 2, FALSE), "")</f>
        <v/>
      </c>
    </row>
    <row r="162">
      <c r="B162" s="6">
        <f>IFERROR(VLOOKUP(A162, WBS!A$4:B$200, 2, FALSE), "")</f>
        <v/>
      </c>
    </row>
    <row r="163">
      <c r="B163" s="6">
        <f>IFERROR(VLOOKUP(A163, WBS!A$4:B$200, 2, FALSE), "")</f>
        <v/>
      </c>
    </row>
    <row r="164">
      <c r="B164" s="6">
        <f>IFERROR(VLOOKUP(A164, WBS!A$4:B$200, 2, FALSE), "")</f>
        <v/>
      </c>
    </row>
    <row r="165">
      <c r="B165" s="6">
        <f>IFERROR(VLOOKUP(A165, WBS!A$4:B$200, 2, FALSE), "")</f>
        <v/>
      </c>
    </row>
    <row r="166">
      <c r="B166" s="6">
        <f>IFERROR(VLOOKUP(A166, WBS!A$4:B$200, 2, FALSE), "")</f>
        <v/>
      </c>
    </row>
    <row r="167">
      <c r="B167" s="6">
        <f>IFERROR(VLOOKUP(A167, WBS!A$4:B$200, 2, FALSE), "")</f>
        <v/>
      </c>
    </row>
    <row r="168">
      <c r="B168" s="6">
        <f>IFERROR(VLOOKUP(A168, WBS!A$4:B$200, 2, FALSE), "")</f>
        <v/>
      </c>
    </row>
    <row r="169">
      <c r="B169" s="6">
        <f>IFERROR(VLOOKUP(A169, WBS!A$4:B$200, 2, FALSE), "")</f>
        <v/>
      </c>
    </row>
    <row r="170">
      <c r="B170" s="6">
        <f>IFERROR(VLOOKUP(A170, WBS!A$4:B$200, 2, FALSE), "")</f>
        <v/>
      </c>
    </row>
    <row r="171">
      <c r="B171" s="6">
        <f>IFERROR(VLOOKUP(A171, WBS!A$4:B$200, 2, FALSE), "")</f>
        <v/>
      </c>
    </row>
    <row r="172">
      <c r="B172" s="6">
        <f>IFERROR(VLOOKUP(A172, WBS!A$4:B$200, 2, FALSE), "")</f>
        <v/>
      </c>
    </row>
    <row r="173">
      <c r="B173" s="6">
        <f>IFERROR(VLOOKUP(A173, WBS!A$4:B$200, 2, FALSE), "")</f>
        <v/>
      </c>
    </row>
    <row r="174">
      <c r="B174" s="6">
        <f>IFERROR(VLOOKUP(A174, WBS!A$4:B$200, 2, FALSE), "")</f>
        <v/>
      </c>
    </row>
    <row r="175">
      <c r="B175" s="6">
        <f>IFERROR(VLOOKUP(A175, WBS!A$4:B$200, 2, FALSE), "")</f>
        <v/>
      </c>
    </row>
    <row r="176">
      <c r="B176" s="6">
        <f>IFERROR(VLOOKUP(A176, WBS!A$4:B$200, 2, FALSE), "")</f>
        <v/>
      </c>
    </row>
    <row r="177">
      <c r="B177" s="6">
        <f>IFERROR(VLOOKUP(A177, WBS!A$4:B$200, 2, FALSE), "")</f>
        <v/>
      </c>
    </row>
    <row r="178">
      <c r="B178" s="6">
        <f>IFERROR(VLOOKUP(A178, WBS!A$4:B$200, 2, FALSE), "")</f>
        <v/>
      </c>
    </row>
    <row r="179">
      <c r="B179" s="6">
        <f>IFERROR(VLOOKUP(A179, WBS!A$4:B$200, 2, FALSE), "")</f>
        <v/>
      </c>
    </row>
    <row r="180">
      <c r="B180" s="6">
        <f>IFERROR(VLOOKUP(A180, WBS!A$4:B$200, 2, FALSE), "")</f>
        <v/>
      </c>
    </row>
    <row r="181">
      <c r="B181" s="6">
        <f>IFERROR(VLOOKUP(A181, WBS!A$4:B$200, 2, FALSE), "")</f>
        <v/>
      </c>
    </row>
    <row r="182">
      <c r="B182" s="6">
        <f>IFERROR(VLOOKUP(A182, WBS!A$4:B$200, 2, FALSE), "")</f>
        <v/>
      </c>
    </row>
    <row r="183">
      <c r="B183" s="6">
        <f>IFERROR(VLOOKUP(A183, WBS!A$4:B$200, 2, FALSE), "")</f>
        <v/>
      </c>
    </row>
    <row r="184">
      <c r="B184" s="6">
        <f>IFERROR(VLOOKUP(A184, WBS!A$4:B$200, 2, FALSE), "")</f>
        <v/>
      </c>
    </row>
    <row r="185">
      <c r="B185" s="6">
        <f>IFERROR(VLOOKUP(A185, WBS!A$4:B$200, 2, FALSE), "")</f>
        <v/>
      </c>
    </row>
    <row r="186">
      <c r="B186" s="6">
        <f>IFERROR(VLOOKUP(A186, WBS!A$4:B$200, 2, FALSE), "")</f>
        <v/>
      </c>
    </row>
    <row r="187">
      <c r="B187" s="6">
        <f>IFERROR(VLOOKUP(A187, WBS!A$4:B$200, 2, FALSE), "")</f>
        <v/>
      </c>
    </row>
    <row r="188">
      <c r="B188" s="6">
        <f>IFERROR(VLOOKUP(A188, WBS!A$4:B$200, 2, FALSE), "")</f>
        <v/>
      </c>
    </row>
    <row r="189">
      <c r="B189" s="6">
        <f>IFERROR(VLOOKUP(A189, WBS!A$4:B$200, 2, FALSE), "")</f>
        <v/>
      </c>
    </row>
    <row r="190">
      <c r="B190" s="6">
        <f>IFERROR(VLOOKUP(A190, WBS!A$4:B$200, 2, FALSE), "")</f>
        <v/>
      </c>
    </row>
    <row r="191">
      <c r="B191" s="6">
        <f>IFERROR(VLOOKUP(A191, WBS!A$4:B$200, 2, FALSE), "")</f>
        <v/>
      </c>
    </row>
    <row r="192">
      <c r="B192" s="6">
        <f>IFERROR(VLOOKUP(A192, WBS!A$4:B$200, 2, FALSE), "")</f>
        <v/>
      </c>
    </row>
    <row r="193">
      <c r="B193" s="6">
        <f>IFERROR(VLOOKUP(A193, WBS!A$4:B$200, 2, FALSE), "")</f>
        <v/>
      </c>
    </row>
    <row r="194">
      <c r="B194" s="6">
        <f>IFERROR(VLOOKUP(A194, WBS!A$4:B$200, 2, FALSE), "")</f>
        <v/>
      </c>
    </row>
    <row r="195">
      <c r="B195" s="6">
        <f>IFERROR(VLOOKUP(A195, WBS!A$4:B$200, 2, FALSE), "")</f>
        <v/>
      </c>
    </row>
    <row r="196">
      <c r="B196" s="6">
        <f>IFERROR(VLOOKUP(A196, WBS!A$4:B$200, 2, FALSE), "")</f>
        <v/>
      </c>
    </row>
    <row r="197">
      <c r="B197" s="6">
        <f>IFERROR(VLOOKUP(A197, WBS!A$4:B$200, 2, FALSE), "")</f>
        <v/>
      </c>
    </row>
    <row r="198">
      <c r="B198" s="6">
        <f>IFERROR(VLOOKUP(A198, WBS!A$4:B$200, 2, FALSE), "")</f>
        <v/>
      </c>
    </row>
    <row r="199">
      <c r="B199" s="6">
        <f>IFERROR(VLOOKUP(A199, WBS!A$4:B$200, 2, FALSE),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22" customWidth="1" min="7" max="7"/>
    <col width="12" customWidth="1" min="8" max="8"/>
    <col width="24" customWidth="1" min="9" max="9"/>
    <col width="24" customWidth="1" min="10" max="10"/>
  </cols>
  <sheetData>
    <row r="1">
      <c r="A1" s="1" t="inlineStr">
        <is>
          <t>PASO 3.2 — DETALLE DE MANO DE OBRA (CON SUELDO BASE, FASAR Y COSTO HORA)</t>
        </is>
      </c>
    </row>
    <row r="3">
      <c r="A3" s="2" t="inlineStr">
        <is>
          <t>Partida N°</t>
        </is>
      </c>
      <c r="B3" s="2" t="inlineStr">
        <is>
          <t>Partida WBS (Automático)</t>
        </is>
      </c>
      <c r="C3" s="2" t="inlineStr">
        <is>
          <t>Puesto / Categoría (Seleccionar)</t>
        </is>
      </c>
      <c r="D3" s="2" t="inlineStr">
        <is>
          <t>Personas</t>
        </is>
      </c>
      <c r="E3" s="2" t="inlineStr">
        <is>
          <t>Horas/Día</t>
        </is>
      </c>
      <c r="F3" s="2" t="inlineStr">
        <is>
          <t>Días</t>
        </is>
      </c>
      <c r="G3" s="2" t="inlineStr">
        <is>
          <t>Sueldo Base Semanal</t>
        </is>
      </c>
      <c r="H3" s="2" t="inlineStr">
        <is>
          <t>FASAR %</t>
        </is>
      </c>
      <c r="I3" s="2" t="inlineStr">
        <is>
          <t>Costo Hora MXN (Calculado)</t>
        </is>
      </c>
      <c r="J3" s="2" t="inlineStr">
        <is>
          <t>Importe Total MO (MXN)</t>
        </is>
      </c>
    </row>
    <row r="4">
      <c r="A4" s="5" t="n">
        <v>1</v>
      </c>
      <c r="B4" s="6">
        <f>IFERROR(VLOOKUP(A4, WBS!A$4:B$200, 2, FALSE), "")</f>
        <v/>
      </c>
      <c r="C4" s="3" t="inlineStr">
        <is>
          <t>Diseñador de Controles</t>
        </is>
      </c>
      <c r="D4" t="n">
        <v>1</v>
      </c>
      <c r="E4" t="n">
        <v>8</v>
      </c>
      <c r="F4" t="n">
        <v>5</v>
      </c>
      <c r="G4" s="7">
        <f>IFERROR(VLOOKUP(C4, BD!A$2:C$50, 2, FALSE), 3500)</f>
        <v/>
      </c>
      <c r="H4" s="8">
        <f>IFERROR(VLOOKUP(C4, BD!A$2:C$50, 3, FALSE), 1.45)</f>
        <v/>
      </c>
      <c r="I4" s="9">
        <f>(G4*H4)/48</f>
        <v/>
      </c>
      <c r="J4" s="9">
        <f>D4*E4*F4*I4</f>
        <v/>
      </c>
    </row>
    <row r="5">
      <c r="A5" s="5" t="n">
        <v>2</v>
      </c>
      <c r="B5" s="6">
        <f>IFERROR(VLOOKUP(A5, WBS!A$4:B$200, 2, FALSE), "")</f>
        <v/>
      </c>
      <c r="C5" s="3" t="inlineStr">
        <is>
          <t>Ingeniero de Control</t>
        </is>
      </c>
      <c r="D5" t="n">
        <v>1</v>
      </c>
      <c r="E5" t="n">
        <v>8</v>
      </c>
      <c r="F5" t="n">
        <v>10</v>
      </c>
      <c r="G5" s="7">
        <f>IFERROR(VLOOKUP(C5, BD!A$2:C$50, 2, FALSE), 3500)</f>
        <v/>
      </c>
      <c r="H5" s="8">
        <f>IFERROR(VLOOKUP(C5, BD!A$2:C$50, 3, FALSE), 1.45)</f>
        <v/>
      </c>
      <c r="I5" s="9">
        <f>(G5*H5)/48</f>
        <v/>
      </c>
      <c r="J5" s="9">
        <f>D5*E5*F5*I5</f>
        <v/>
      </c>
    </row>
    <row r="6">
      <c r="B6" s="6">
        <f>IFERROR(VLOOKUP(A6, WBS!A$4:B$200, 2, FALSE), "")</f>
        <v/>
      </c>
      <c r="G6" s="7">
        <f>IFERROR(VLOOKUP(C6, BD!A$2:C$50, 2, FALSE), 3500)</f>
        <v/>
      </c>
      <c r="H6" s="8">
        <f>IFERROR(VLOOKUP(C6, BD!A$2:C$50, 3, FALSE), 1.45)</f>
        <v/>
      </c>
      <c r="I6" s="7">
        <f>(G6*H6)/48</f>
        <v/>
      </c>
      <c r="J6" s="7">
        <f>D6*E6*F6*I6</f>
        <v/>
      </c>
    </row>
    <row r="7">
      <c r="B7" s="6">
        <f>IFERROR(VLOOKUP(A7, WBS!A$4:B$200, 2, FALSE), "")</f>
        <v/>
      </c>
      <c r="G7" s="7">
        <f>IFERROR(VLOOKUP(C7, BD!A$2:C$50, 2, FALSE), 3500)</f>
        <v/>
      </c>
      <c r="H7" s="8">
        <f>IFERROR(VLOOKUP(C7, BD!A$2:C$50, 3, FALSE), 1.45)</f>
        <v/>
      </c>
      <c r="I7" s="7">
        <f>(G7*H7)/48</f>
        <v/>
      </c>
      <c r="J7" s="7">
        <f>D7*E7*F7*I7</f>
        <v/>
      </c>
    </row>
    <row r="8">
      <c r="B8" s="6">
        <f>IFERROR(VLOOKUP(A8, WBS!A$4:B$200, 2, FALSE), "")</f>
        <v/>
      </c>
      <c r="G8" s="7">
        <f>IFERROR(VLOOKUP(C8, BD!A$2:C$50, 2, FALSE), 3500)</f>
        <v/>
      </c>
      <c r="H8" s="8">
        <f>IFERROR(VLOOKUP(C8, BD!A$2:C$50, 3, FALSE), 1.45)</f>
        <v/>
      </c>
      <c r="I8" s="7">
        <f>(G8*H8)/48</f>
        <v/>
      </c>
      <c r="J8" s="7">
        <f>D8*E8*F8*I8</f>
        <v/>
      </c>
    </row>
    <row r="9">
      <c r="B9" s="6">
        <f>IFERROR(VLOOKUP(A9, WBS!A$4:B$200, 2, FALSE), "")</f>
        <v/>
      </c>
      <c r="G9" s="7">
        <f>IFERROR(VLOOKUP(C9, BD!A$2:C$50, 2, FALSE), 3500)</f>
        <v/>
      </c>
      <c r="H9" s="8">
        <f>IFERROR(VLOOKUP(C9, BD!A$2:C$50, 3, FALSE), 1.45)</f>
        <v/>
      </c>
      <c r="I9" s="7">
        <f>(G9*H9)/48</f>
        <v/>
      </c>
      <c r="J9" s="7">
        <f>D9*E9*F9*I9</f>
        <v/>
      </c>
    </row>
    <row r="10">
      <c r="B10" s="6">
        <f>IFERROR(VLOOKUP(A10, WBS!A$4:B$200, 2, FALSE), "")</f>
        <v/>
      </c>
      <c r="G10" s="7">
        <f>IFERROR(VLOOKUP(C10, BD!A$2:C$50, 2, FALSE), 3500)</f>
        <v/>
      </c>
      <c r="H10" s="8">
        <f>IFERROR(VLOOKUP(C10, BD!A$2:C$50, 3, FALSE), 1.45)</f>
        <v/>
      </c>
      <c r="I10" s="7">
        <f>(G10*H10)/48</f>
        <v/>
      </c>
      <c r="J10" s="7">
        <f>D10*E10*F10*I10</f>
        <v/>
      </c>
    </row>
    <row r="11">
      <c r="B11" s="6">
        <f>IFERROR(VLOOKUP(A11, WBS!A$4:B$200, 2, FALSE), "")</f>
        <v/>
      </c>
      <c r="G11" s="7">
        <f>IFERROR(VLOOKUP(C11, BD!A$2:C$50, 2, FALSE), 3500)</f>
        <v/>
      </c>
      <c r="H11" s="8">
        <f>IFERROR(VLOOKUP(C11, BD!A$2:C$50, 3, FALSE), 1.45)</f>
        <v/>
      </c>
      <c r="I11" s="7">
        <f>(G11*H11)/48</f>
        <v/>
      </c>
      <c r="J11" s="7">
        <f>D11*E11*F11*I11</f>
        <v/>
      </c>
    </row>
    <row r="12">
      <c r="B12" s="6">
        <f>IFERROR(VLOOKUP(A12, WBS!A$4:B$200, 2, FALSE), "")</f>
        <v/>
      </c>
      <c r="G12" s="7">
        <f>IFERROR(VLOOKUP(C12, BD!A$2:C$50, 2, FALSE), 3500)</f>
        <v/>
      </c>
      <c r="H12" s="8">
        <f>IFERROR(VLOOKUP(C12, BD!A$2:C$50, 3, FALSE), 1.45)</f>
        <v/>
      </c>
      <c r="I12" s="7">
        <f>(G12*H12)/48</f>
        <v/>
      </c>
      <c r="J12" s="7">
        <f>D12*E12*F12*I12</f>
        <v/>
      </c>
    </row>
    <row r="13">
      <c r="B13" s="6">
        <f>IFERROR(VLOOKUP(A13, WBS!A$4:B$200, 2, FALSE), "")</f>
        <v/>
      </c>
      <c r="G13" s="7">
        <f>IFERROR(VLOOKUP(C13, BD!A$2:C$50, 2, FALSE), 3500)</f>
        <v/>
      </c>
      <c r="H13" s="8">
        <f>IFERROR(VLOOKUP(C13, BD!A$2:C$50, 3, FALSE), 1.45)</f>
        <v/>
      </c>
      <c r="I13" s="7">
        <f>(G13*H13)/48</f>
        <v/>
      </c>
      <c r="J13" s="7">
        <f>D13*E13*F13*I13</f>
        <v/>
      </c>
    </row>
    <row r="14">
      <c r="B14" s="6">
        <f>IFERROR(VLOOKUP(A14, WBS!A$4:B$200, 2, FALSE), "")</f>
        <v/>
      </c>
      <c r="G14" s="7">
        <f>IFERROR(VLOOKUP(C14, BD!A$2:C$50, 2, FALSE), 3500)</f>
        <v/>
      </c>
      <c r="H14" s="8">
        <f>IFERROR(VLOOKUP(C14, BD!A$2:C$50, 3, FALSE), 1.45)</f>
        <v/>
      </c>
      <c r="I14" s="7">
        <f>(G14*H14)/48</f>
        <v/>
      </c>
      <c r="J14" s="7">
        <f>D14*E14*F14*I14</f>
        <v/>
      </c>
    </row>
    <row r="15">
      <c r="B15" s="6">
        <f>IFERROR(VLOOKUP(A15, WBS!A$4:B$200, 2, FALSE), "")</f>
        <v/>
      </c>
      <c r="G15" s="7">
        <f>IFERROR(VLOOKUP(C15, BD!A$2:C$50, 2, FALSE), 3500)</f>
        <v/>
      </c>
      <c r="H15" s="8">
        <f>IFERROR(VLOOKUP(C15, BD!A$2:C$50, 3, FALSE), 1.45)</f>
        <v/>
      </c>
      <c r="I15" s="7">
        <f>(G15*H15)/48</f>
        <v/>
      </c>
      <c r="J15" s="7">
        <f>D15*E15*F15*I15</f>
        <v/>
      </c>
    </row>
    <row r="16">
      <c r="B16" s="6">
        <f>IFERROR(VLOOKUP(A16, WBS!A$4:B$200, 2, FALSE), "")</f>
        <v/>
      </c>
      <c r="G16" s="7">
        <f>IFERROR(VLOOKUP(C16, BD!A$2:C$50, 2, FALSE), 3500)</f>
        <v/>
      </c>
      <c r="H16" s="8">
        <f>IFERROR(VLOOKUP(C16, BD!A$2:C$50, 3, FALSE), 1.45)</f>
        <v/>
      </c>
      <c r="I16" s="7">
        <f>(G16*H16)/48</f>
        <v/>
      </c>
      <c r="J16" s="7">
        <f>D16*E16*F16*I16</f>
        <v/>
      </c>
    </row>
    <row r="17">
      <c r="B17" s="6">
        <f>IFERROR(VLOOKUP(A17, WBS!A$4:B$200, 2, FALSE), "")</f>
        <v/>
      </c>
      <c r="G17" s="7">
        <f>IFERROR(VLOOKUP(C17, BD!A$2:C$50, 2, FALSE), 3500)</f>
        <v/>
      </c>
      <c r="H17" s="8">
        <f>IFERROR(VLOOKUP(C17, BD!A$2:C$50, 3, FALSE), 1.45)</f>
        <v/>
      </c>
      <c r="I17" s="7">
        <f>(G17*H17)/48</f>
        <v/>
      </c>
      <c r="J17" s="7">
        <f>D17*E17*F17*I17</f>
        <v/>
      </c>
    </row>
    <row r="18">
      <c r="B18" s="6">
        <f>IFERROR(VLOOKUP(A18, WBS!A$4:B$200, 2, FALSE), "")</f>
        <v/>
      </c>
      <c r="G18" s="7">
        <f>IFERROR(VLOOKUP(C18, BD!A$2:C$50, 2, FALSE), 3500)</f>
        <v/>
      </c>
      <c r="H18" s="8">
        <f>IFERROR(VLOOKUP(C18, BD!A$2:C$50, 3, FALSE), 1.45)</f>
        <v/>
      </c>
      <c r="I18" s="7">
        <f>(G18*H18)/48</f>
        <v/>
      </c>
      <c r="J18" s="7">
        <f>D18*E18*F18*I18</f>
        <v/>
      </c>
    </row>
    <row r="19">
      <c r="B19" s="6">
        <f>IFERROR(VLOOKUP(A19, WBS!A$4:B$200, 2, FALSE), "")</f>
        <v/>
      </c>
      <c r="G19" s="7">
        <f>IFERROR(VLOOKUP(C19, BD!A$2:C$50, 2, FALSE), 3500)</f>
        <v/>
      </c>
      <c r="H19" s="8">
        <f>IFERROR(VLOOKUP(C19, BD!A$2:C$50, 3, FALSE), 1.45)</f>
        <v/>
      </c>
      <c r="I19" s="7">
        <f>(G19*H19)/48</f>
        <v/>
      </c>
      <c r="J19" s="7">
        <f>D19*E19*F19*I19</f>
        <v/>
      </c>
    </row>
    <row r="20">
      <c r="B20" s="6">
        <f>IFERROR(VLOOKUP(A20, WBS!A$4:B$200, 2, FALSE), "")</f>
        <v/>
      </c>
      <c r="G20" s="7">
        <f>IFERROR(VLOOKUP(C20, BD!A$2:C$50, 2, FALSE), 3500)</f>
        <v/>
      </c>
      <c r="H20" s="8">
        <f>IFERROR(VLOOKUP(C20, BD!A$2:C$50, 3, FALSE), 1.45)</f>
        <v/>
      </c>
      <c r="I20" s="7">
        <f>(G20*H20)/48</f>
        <v/>
      </c>
      <c r="J20" s="7">
        <f>D20*E20*F20*I20</f>
        <v/>
      </c>
    </row>
    <row r="21">
      <c r="B21" s="6">
        <f>IFERROR(VLOOKUP(A21, WBS!A$4:B$200, 2, FALSE), "")</f>
        <v/>
      </c>
      <c r="G21" s="7">
        <f>IFERROR(VLOOKUP(C21, BD!A$2:C$50, 2, FALSE), 3500)</f>
        <v/>
      </c>
      <c r="H21" s="8">
        <f>IFERROR(VLOOKUP(C21, BD!A$2:C$50, 3, FALSE), 1.45)</f>
        <v/>
      </c>
      <c r="I21" s="7">
        <f>(G21*H21)/48</f>
        <v/>
      </c>
      <c r="J21" s="7">
        <f>D21*E21*F21*I21</f>
        <v/>
      </c>
    </row>
    <row r="22">
      <c r="B22" s="6">
        <f>IFERROR(VLOOKUP(A22, WBS!A$4:B$200, 2, FALSE), "")</f>
        <v/>
      </c>
      <c r="G22" s="7">
        <f>IFERROR(VLOOKUP(C22, BD!A$2:C$50, 2, FALSE), 3500)</f>
        <v/>
      </c>
      <c r="H22" s="8">
        <f>IFERROR(VLOOKUP(C22, BD!A$2:C$50, 3, FALSE), 1.45)</f>
        <v/>
      </c>
      <c r="I22" s="7">
        <f>(G22*H22)/48</f>
        <v/>
      </c>
      <c r="J22" s="7">
        <f>D22*E22*F22*I22</f>
        <v/>
      </c>
    </row>
    <row r="23">
      <c r="B23" s="6">
        <f>IFERROR(VLOOKUP(A23, WBS!A$4:B$200, 2, FALSE), "")</f>
        <v/>
      </c>
      <c r="G23" s="7">
        <f>IFERROR(VLOOKUP(C23, BD!A$2:C$50, 2, FALSE), 3500)</f>
        <v/>
      </c>
      <c r="H23" s="8">
        <f>IFERROR(VLOOKUP(C23, BD!A$2:C$50, 3, FALSE), 1.45)</f>
        <v/>
      </c>
      <c r="I23" s="7">
        <f>(G23*H23)/48</f>
        <v/>
      </c>
      <c r="J23" s="7">
        <f>D23*E23*F23*I23</f>
        <v/>
      </c>
    </row>
    <row r="24">
      <c r="B24" s="6">
        <f>IFERROR(VLOOKUP(A24, WBS!A$4:B$200, 2, FALSE), "")</f>
        <v/>
      </c>
      <c r="G24" s="7">
        <f>IFERROR(VLOOKUP(C24, BD!A$2:C$50, 2, FALSE), 3500)</f>
        <v/>
      </c>
      <c r="H24" s="8">
        <f>IFERROR(VLOOKUP(C24, BD!A$2:C$50, 3, FALSE), 1.45)</f>
        <v/>
      </c>
      <c r="I24" s="7">
        <f>(G24*H24)/48</f>
        <v/>
      </c>
      <c r="J24" s="7">
        <f>D24*E24*F24*I24</f>
        <v/>
      </c>
    </row>
    <row r="25">
      <c r="B25" s="6">
        <f>IFERROR(VLOOKUP(A25, WBS!A$4:B$200, 2, FALSE), "")</f>
        <v/>
      </c>
      <c r="G25" s="7">
        <f>IFERROR(VLOOKUP(C25, BD!A$2:C$50, 2, FALSE), 3500)</f>
        <v/>
      </c>
      <c r="H25" s="8">
        <f>IFERROR(VLOOKUP(C25, BD!A$2:C$50, 3, FALSE), 1.45)</f>
        <v/>
      </c>
      <c r="I25" s="7">
        <f>(G25*H25)/48</f>
        <v/>
      </c>
      <c r="J25" s="7">
        <f>D25*E25*F25*I25</f>
        <v/>
      </c>
    </row>
    <row r="26">
      <c r="B26" s="6">
        <f>IFERROR(VLOOKUP(A26, WBS!A$4:B$200, 2, FALSE), "")</f>
        <v/>
      </c>
      <c r="G26" s="7">
        <f>IFERROR(VLOOKUP(C26, BD!A$2:C$50, 2, FALSE), 3500)</f>
        <v/>
      </c>
      <c r="H26" s="8">
        <f>IFERROR(VLOOKUP(C26, BD!A$2:C$50, 3, FALSE), 1.45)</f>
        <v/>
      </c>
      <c r="I26" s="7">
        <f>(G26*H26)/48</f>
        <v/>
      </c>
      <c r="J26" s="7">
        <f>D26*E26*F26*I26</f>
        <v/>
      </c>
    </row>
    <row r="27">
      <c r="B27" s="6">
        <f>IFERROR(VLOOKUP(A27, WBS!A$4:B$200, 2, FALSE), "")</f>
        <v/>
      </c>
      <c r="G27" s="7">
        <f>IFERROR(VLOOKUP(C27, BD!A$2:C$50, 2, FALSE), 3500)</f>
        <v/>
      </c>
      <c r="H27" s="8">
        <f>IFERROR(VLOOKUP(C27, BD!A$2:C$50, 3, FALSE), 1.45)</f>
        <v/>
      </c>
      <c r="I27" s="7">
        <f>(G27*H27)/48</f>
        <v/>
      </c>
      <c r="J27" s="7">
        <f>D27*E27*F27*I27</f>
        <v/>
      </c>
    </row>
    <row r="28">
      <c r="B28" s="6">
        <f>IFERROR(VLOOKUP(A28, WBS!A$4:B$200, 2, FALSE), "")</f>
        <v/>
      </c>
      <c r="G28" s="7">
        <f>IFERROR(VLOOKUP(C28, BD!A$2:C$50, 2, FALSE), 3500)</f>
        <v/>
      </c>
      <c r="H28" s="8">
        <f>IFERROR(VLOOKUP(C28, BD!A$2:C$50, 3, FALSE), 1.45)</f>
        <v/>
      </c>
      <c r="I28" s="7">
        <f>(G28*H28)/48</f>
        <v/>
      </c>
      <c r="J28" s="7">
        <f>D28*E28*F28*I28</f>
        <v/>
      </c>
    </row>
    <row r="29">
      <c r="B29" s="6">
        <f>IFERROR(VLOOKUP(A29, WBS!A$4:B$200, 2, FALSE), "")</f>
        <v/>
      </c>
      <c r="G29" s="7">
        <f>IFERROR(VLOOKUP(C29, BD!A$2:C$50, 2, FALSE), 3500)</f>
        <v/>
      </c>
      <c r="H29" s="8">
        <f>IFERROR(VLOOKUP(C29, BD!A$2:C$50, 3, FALSE), 1.45)</f>
        <v/>
      </c>
      <c r="I29" s="7">
        <f>(G29*H29)/48</f>
        <v/>
      </c>
      <c r="J29" s="7">
        <f>D29*E29*F29*I29</f>
        <v/>
      </c>
    </row>
    <row r="30">
      <c r="B30" s="6">
        <f>IFERROR(VLOOKUP(A30, WBS!A$4:B$200, 2, FALSE), "")</f>
        <v/>
      </c>
      <c r="G30" s="7">
        <f>IFERROR(VLOOKUP(C30, BD!A$2:C$50, 2, FALSE), 3500)</f>
        <v/>
      </c>
      <c r="H30" s="8">
        <f>IFERROR(VLOOKUP(C30, BD!A$2:C$50, 3, FALSE), 1.45)</f>
        <v/>
      </c>
      <c r="I30" s="7">
        <f>(G30*H30)/48</f>
        <v/>
      </c>
      <c r="J30" s="7">
        <f>D30*E30*F30*I30</f>
        <v/>
      </c>
    </row>
    <row r="31">
      <c r="B31" s="6">
        <f>IFERROR(VLOOKUP(A31, WBS!A$4:B$200, 2, FALSE), "")</f>
        <v/>
      </c>
      <c r="G31" s="7">
        <f>IFERROR(VLOOKUP(C31, BD!A$2:C$50, 2, FALSE), 3500)</f>
        <v/>
      </c>
      <c r="H31" s="8">
        <f>IFERROR(VLOOKUP(C31, BD!A$2:C$50, 3, FALSE), 1.45)</f>
        <v/>
      </c>
      <c r="I31" s="7">
        <f>(G31*H31)/48</f>
        <v/>
      </c>
      <c r="J31" s="7">
        <f>D31*E31*F31*I31</f>
        <v/>
      </c>
    </row>
    <row r="32">
      <c r="B32" s="6">
        <f>IFERROR(VLOOKUP(A32, WBS!A$4:B$200, 2, FALSE), "")</f>
        <v/>
      </c>
      <c r="G32" s="7">
        <f>IFERROR(VLOOKUP(C32, BD!A$2:C$50, 2, FALSE), 3500)</f>
        <v/>
      </c>
      <c r="H32" s="8">
        <f>IFERROR(VLOOKUP(C32, BD!A$2:C$50, 3, FALSE), 1.45)</f>
        <v/>
      </c>
      <c r="I32" s="7">
        <f>(G32*H32)/48</f>
        <v/>
      </c>
      <c r="J32" s="7">
        <f>D32*E32*F32*I32</f>
        <v/>
      </c>
    </row>
    <row r="33">
      <c r="B33" s="6">
        <f>IFERROR(VLOOKUP(A33, WBS!A$4:B$200, 2, FALSE), "")</f>
        <v/>
      </c>
      <c r="G33" s="7">
        <f>IFERROR(VLOOKUP(C33, BD!A$2:C$50, 2, FALSE), 3500)</f>
        <v/>
      </c>
      <c r="H33" s="8">
        <f>IFERROR(VLOOKUP(C33, BD!A$2:C$50, 3, FALSE), 1.45)</f>
        <v/>
      </c>
      <c r="I33" s="7">
        <f>(G33*H33)/48</f>
        <v/>
      </c>
      <c r="J33" s="7">
        <f>D33*E33*F33*I33</f>
        <v/>
      </c>
    </row>
    <row r="34">
      <c r="B34" s="6">
        <f>IFERROR(VLOOKUP(A34, WBS!A$4:B$200, 2, FALSE), "")</f>
        <v/>
      </c>
      <c r="G34" s="7">
        <f>IFERROR(VLOOKUP(C34, BD!A$2:C$50, 2, FALSE), 3500)</f>
        <v/>
      </c>
      <c r="H34" s="8">
        <f>IFERROR(VLOOKUP(C34, BD!A$2:C$50, 3, FALSE), 1.45)</f>
        <v/>
      </c>
      <c r="I34" s="7">
        <f>(G34*H34)/48</f>
        <v/>
      </c>
      <c r="J34" s="7">
        <f>D34*E34*F34*I34</f>
        <v/>
      </c>
    </row>
    <row r="35">
      <c r="B35" s="6">
        <f>IFERROR(VLOOKUP(A35, WBS!A$4:B$200, 2, FALSE), "")</f>
        <v/>
      </c>
      <c r="G35" s="7">
        <f>IFERROR(VLOOKUP(C35, BD!A$2:C$50, 2, FALSE), 3500)</f>
        <v/>
      </c>
      <c r="H35" s="8">
        <f>IFERROR(VLOOKUP(C35, BD!A$2:C$50, 3, FALSE), 1.45)</f>
        <v/>
      </c>
      <c r="I35" s="7">
        <f>(G35*H35)/48</f>
        <v/>
      </c>
      <c r="J35" s="7">
        <f>D35*E35*F35*I35</f>
        <v/>
      </c>
    </row>
    <row r="36">
      <c r="B36" s="6">
        <f>IFERROR(VLOOKUP(A36, WBS!A$4:B$200, 2, FALSE), "")</f>
        <v/>
      </c>
      <c r="G36" s="7">
        <f>IFERROR(VLOOKUP(C36, BD!A$2:C$50, 2, FALSE), 3500)</f>
        <v/>
      </c>
      <c r="H36" s="8">
        <f>IFERROR(VLOOKUP(C36, BD!A$2:C$50, 3, FALSE), 1.45)</f>
        <v/>
      </c>
      <c r="I36" s="7">
        <f>(G36*H36)/48</f>
        <v/>
      </c>
      <c r="J36" s="7">
        <f>D36*E36*F36*I36</f>
        <v/>
      </c>
    </row>
    <row r="37">
      <c r="B37" s="6">
        <f>IFERROR(VLOOKUP(A37, WBS!A$4:B$200, 2, FALSE), "")</f>
        <v/>
      </c>
      <c r="G37" s="7">
        <f>IFERROR(VLOOKUP(C37, BD!A$2:C$50, 2, FALSE), 3500)</f>
        <v/>
      </c>
      <c r="H37" s="8">
        <f>IFERROR(VLOOKUP(C37, BD!A$2:C$50, 3, FALSE), 1.45)</f>
        <v/>
      </c>
      <c r="I37" s="7">
        <f>(G37*H37)/48</f>
        <v/>
      </c>
      <c r="J37" s="7">
        <f>D37*E37*F37*I37</f>
        <v/>
      </c>
    </row>
    <row r="38">
      <c r="B38" s="6">
        <f>IFERROR(VLOOKUP(A38, WBS!A$4:B$200, 2, FALSE), "")</f>
        <v/>
      </c>
      <c r="G38" s="7">
        <f>IFERROR(VLOOKUP(C38, BD!A$2:C$50, 2, FALSE), 3500)</f>
        <v/>
      </c>
      <c r="H38" s="8">
        <f>IFERROR(VLOOKUP(C38, BD!A$2:C$50, 3, FALSE), 1.45)</f>
        <v/>
      </c>
      <c r="I38" s="7">
        <f>(G38*H38)/48</f>
        <v/>
      </c>
      <c r="J38" s="7">
        <f>D38*E38*F38*I38</f>
        <v/>
      </c>
    </row>
    <row r="39">
      <c r="B39" s="6">
        <f>IFERROR(VLOOKUP(A39, WBS!A$4:B$200, 2, FALSE), "")</f>
        <v/>
      </c>
      <c r="G39" s="7">
        <f>IFERROR(VLOOKUP(C39, BD!A$2:C$50, 2, FALSE), 3500)</f>
        <v/>
      </c>
      <c r="H39" s="8">
        <f>IFERROR(VLOOKUP(C39, BD!A$2:C$50, 3, FALSE), 1.45)</f>
        <v/>
      </c>
      <c r="I39" s="7">
        <f>(G39*H39)/48</f>
        <v/>
      </c>
      <c r="J39" s="7">
        <f>D39*E39*F39*I39</f>
        <v/>
      </c>
    </row>
    <row r="40">
      <c r="B40" s="6">
        <f>IFERROR(VLOOKUP(A40, WBS!A$4:B$200, 2, FALSE), "")</f>
        <v/>
      </c>
      <c r="G40" s="7">
        <f>IFERROR(VLOOKUP(C40, BD!A$2:C$50, 2, FALSE), 3500)</f>
        <v/>
      </c>
      <c r="H40" s="8">
        <f>IFERROR(VLOOKUP(C40, BD!A$2:C$50, 3, FALSE), 1.45)</f>
        <v/>
      </c>
      <c r="I40" s="7">
        <f>(G40*H40)/48</f>
        <v/>
      </c>
      <c r="J40" s="7">
        <f>D40*E40*F40*I40</f>
        <v/>
      </c>
    </row>
    <row r="41">
      <c r="B41" s="6">
        <f>IFERROR(VLOOKUP(A41, WBS!A$4:B$200, 2, FALSE), "")</f>
        <v/>
      </c>
      <c r="G41" s="7">
        <f>IFERROR(VLOOKUP(C41, BD!A$2:C$50, 2, FALSE), 3500)</f>
        <v/>
      </c>
      <c r="H41" s="8">
        <f>IFERROR(VLOOKUP(C41, BD!A$2:C$50, 3, FALSE), 1.45)</f>
        <v/>
      </c>
      <c r="I41" s="7">
        <f>(G41*H41)/48</f>
        <v/>
      </c>
      <c r="J41" s="7">
        <f>D41*E41*F41*I41</f>
        <v/>
      </c>
    </row>
    <row r="42">
      <c r="B42" s="6">
        <f>IFERROR(VLOOKUP(A42, WBS!A$4:B$200, 2, FALSE), "")</f>
        <v/>
      </c>
      <c r="G42" s="7">
        <f>IFERROR(VLOOKUP(C42, BD!A$2:C$50, 2, FALSE), 3500)</f>
        <v/>
      </c>
      <c r="H42" s="8">
        <f>IFERROR(VLOOKUP(C42, BD!A$2:C$50, 3, FALSE), 1.45)</f>
        <v/>
      </c>
      <c r="I42" s="7">
        <f>(G42*H42)/48</f>
        <v/>
      </c>
      <c r="J42" s="7">
        <f>D42*E42*F42*I42</f>
        <v/>
      </c>
    </row>
    <row r="43">
      <c r="B43" s="6">
        <f>IFERROR(VLOOKUP(A43, WBS!A$4:B$200, 2, FALSE), "")</f>
        <v/>
      </c>
      <c r="G43" s="7">
        <f>IFERROR(VLOOKUP(C43, BD!A$2:C$50, 2, FALSE), 3500)</f>
        <v/>
      </c>
      <c r="H43" s="8">
        <f>IFERROR(VLOOKUP(C43, BD!A$2:C$50, 3, FALSE), 1.45)</f>
        <v/>
      </c>
      <c r="I43" s="7">
        <f>(G43*H43)/48</f>
        <v/>
      </c>
      <c r="J43" s="7">
        <f>D43*E43*F43*I43</f>
        <v/>
      </c>
    </row>
    <row r="44">
      <c r="B44" s="6">
        <f>IFERROR(VLOOKUP(A44, WBS!A$4:B$200, 2, FALSE), "")</f>
        <v/>
      </c>
      <c r="G44" s="7">
        <f>IFERROR(VLOOKUP(C44, BD!A$2:C$50, 2, FALSE), 3500)</f>
        <v/>
      </c>
      <c r="H44" s="8">
        <f>IFERROR(VLOOKUP(C44, BD!A$2:C$50, 3, FALSE), 1.45)</f>
        <v/>
      </c>
      <c r="I44" s="7">
        <f>(G44*H44)/48</f>
        <v/>
      </c>
      <c r="J44" s="7">
        <f>D44*E44*F44*I44</f>
        <v/>
      </c>
    </row>
    <row r="45">
      <c r="B45" s="6">
        <f>IFERROR(VLOOKUP(A45, WBS!A$4:B$200, 2, FALSE), "")</f>
        <v/>
      </c>
      <c r="G45" s="7">
        <f>IFERROR(VLOOKUP(C45, BD!A$2:C$50, 2, FALSE), 3500)</f>
        <v/>
      </c>
      <c r="H45" s="8">
        <f>IFERROR(VLOOKUP(C45, BD!A$2:C$50, 3, FALSE), 1.45)</f>
        <v/>
      </c>
      <c r="I45" s="7">
        <f>(G45*H45)/48</f>
        <v/>
      </c>
      <c r="J45" s="7">
        <f>D45*E45*F45*I45</f>
        <v/>
      </c>
    </row>
    <row r="46">
      <c r="B46" s="6">
        <f>IFERROR(VLOOKUP(A46, WBS!A$4:B$200, 2, FALSE), "")</f>
        <v/>
      </c>
      <c r="G46" s="7">
        <f>IFERROR(VLOOKUP(C46, BD!A$2:C$50, 2, FALSE), 3500)</f>
        <v/>
      </c>
      <c r="H46" s="8">
        <f>IFERROR(VLOOKUP(C46, BD!A$2:C$50, 3, FALSE), 1.45)</f>
        <v/>
      </c>
      <c r="I46" s="7">
        <f>(G46*H46)/48</f>
        <v/>
      </c>
      <c r="J46" s="7">
        <f>D46*E46*F46*I46</f>
        <v/>
      </c>
    </row>
    <row r="47">
      <c r="B47" s="6">
        <f>IFERROR(VLOOKUP(A47, WBS!A$4:B$200, 2, FALSE), "")</f>
        <v/>
      </c>
      <c r="G47" s="7">
        <f>IFERROR(VLOOKUP(C47, BD!A$2:C$50, 2, FALSE), 3500)</f>
        <v/>
      </c>
      <c r="H47" s="8">
        <f>IFERROR(VLOOKUP(C47, BD!A$2:C$50, 3, FALSE), 1.45)</f>
        <v/>
      </c>
      <c r="I47" s="7">
        <f>(G47*H47)/48</f>
        <v/>
      </c>
      <c r="J47" s="7">
        <f>D47*E47*F47*I47</f>
        <v/>
      </c>
    </row>
    <row r="48">
      <c r="B48" s="6">
        <f>IFERROR(VLOOKUP(A48, WBS!A$4:B$200, 2, FALSE), "")</f>
        <v/>
      </c>
      <c r="G48" s="7">
        <f>IFERROR(VLOOKUP(C48, BD!A$2:C$50, 2, FALSE), 3500)</f>
        <v/>
      </c>
      <c r="H48" s="8">
        <f>IFERROR(VLOOKUP(C48, BD!A$2:C$50, 3, FALSE), 1.45)</f>
        <v/>
      </c>
      <c r="I48" s="7">
        <f>(G48*H48)/48</f>
        <v/>
      </c>
      <c r="J48" s="7">
        <f>D48*E48*F48*I48</f>
        <v/>
      </c>
    </row>
    <row r="49">
      <c r="B49" s="6">
        <f>IFERROR(VLOOKUP(A49, WBS!A$4:B$200, 2, FALSE), "")</f>
        <v/>
      </c>
      <c r="G49" s="7">
        <f>IFERROR(VLOOKUP(C49, BD!A$2:C$50, 2, FALSE), 3500)</f>
        <v/>
      </c>
      <c r="H49" s="8">
        <f>IFERROR(VLOOKUP(C49, BD!A$2:C$50, 3, FALSE), 1.45)</f>
        <v/>
      </c>
      <c r="I49" s="7">
        <f>(G49*H49)/48</f>
        <v/>
      </c>
      <c r="J49" s="7">
        <f>D49*E49*F49*I49</f>
        <v/>
      </c>
    </row>
    <row r="50">
      <c r="B50" s="6">
        <f>IFERROR(VLOOKUP(A50, WBS!A$4:B$200, 2, FALSE), "")</f>
        <v/>
      </c>
      <c r="G50" s="7">
        <f>IFERROR(VLOOKUP(C50, BD!A$2:C$50, 2, FALSE), 3500)</f>
        <v/>
      </c>
      <c r="H50" s="8">
        <f>IFERROR(VLOOKUP(C50, BD!A$2:C$50, 3, FALSE), 1.45)</f>
        <v/>
      </c>
      <c r="I50" s="7">
        <f>(G50*H50)/48</f>
        <v/>
      </c>
      <c r="J50" s="7">
        <f>D50*E50*F50*I50</f>
        <v/>
      </c>
    </row>
    <row r="51">
      <c r="B51" s="6">
        <f>IFERROR(VLOOKUP(A51, WBS!A$4:B$200, 2, FALSE), "")</f>
        <v/>
      </c>
      <c r="G51" s="7">
        <f>IFERROR(VLOOKUP(C51, BD!A$2:C$50, 2, FALSE), 3500)</f>
        <v/>
      </c>
      <c r="H51" s="8">
        <f>IFERROR(VLOOKUP(C51, BD!A$2:C$50, 3, FALSE), 1.45)</f>
        <v/>
      </c>
      <c r="I51" s="7">
        <f>(G51*H51)/48</f>
        <v/>
      </c>
      <c r="J51" s="7">
        <f>D51*E51*F51*I51</f>
        <v/>
      </c>
    </row>
    <row r="52">
      <c r="B52" s="6">
        <f>IFERROR(VLOOKUP(A52, WBS!A$4:B$200, 2, FALSE), "")</f>
        <v/>
      </c>
      <c r="G52" s="7">
        <f>IFERROR(VLOOKUP(C52, BD!A$2:C$50, 2, FALSE), 3500)</f>
        <v/>
      </c>
      <c r="H52" s="8">
        <f>IFERROR(VLOOKUP(C52, BD!A$2:C$50, 3, FALSE), 1.45)</f>
        <v/>
      </c>
      <c r="I52" s="7">
        <f>(G52*H52)/48</f>
        <v/>
      </c>
      <c r="J52" s="7">
        <f>D52*E52*F52*I52</f>
        <v/>
      </c>
    </row>
    <row r="53">
      <c r="B53" s="6">
        <f>IFERROR(VLOOKUP(A53, WBS!A$4:B$200, 2, FALSE), "")</f>
        <v/>
      </c>
      <c r="G53" s="7">
        <f>IFERROR(VLOOKUP(C53, BD!A$2:C$50, 2, FALSE), 3500)</f>
        <v/>
      </c>
      <c r="H53" s="8">
        <f>IFERROR(VLOOKUP(C53, BD!A$2:C$50, 3, FALSE), 1.45)</f>
        <v/>
      </c>
      <c r="I53" s="7">
        <f>(G53*H53)/48</f>
        <v/>
      </c>
      <c r="J53" s="7">
        <f>D53*E53*F53*I53</f>
        <v/>
      </c>
    </row>
    <row r="54">
      <c r="B54" s="6">
        <f>IFERROR(VLOOKUP(A54, WBS!A$4:B$200, 2, FALSE), "")</f>
        <v/>
      </c>
      <c r="G54" s="7">
        <f>IFERROR(VLOOKUP(C54, BD!A$2:C$50, 2, FALSE), 3500)</f>
        <v/>
      </c>
      <c r="H54" s="8">
        <f>IFERROR(VLOOKUP(C54, BD!A$2:C$50, 3, FALSE), 1.45)</f>
        <v/>
      </c>
      <c r="I54" s="7">
        <f>(G54*H54)/48</f>
        <v/>
      </c>
      <c r="J54" s="7">
        <f>D54*E54*F54*I54</f>
        <v/>
      </c>
    </row>
    <row r="55">
      <c r="B55" s="6">
        <f>IFERROR(VLOOKUP(A55, WBS!A$4:B$200, 2, FALSE), "")</f>
        <v/>
      </c>
      <c r="G55" s="7">
        <f>IFERROR(VLOOKUP(C55, BD!A$2:C$50, 2, FALSE), 3500)</f>
        <v/>
      </c>
      <c r="H55" s="8">
        <f>IFERROR(VLOOKUP(C55, BD!A$2:C$50, 3, FALSE), 1.45)</f>
        <v/>
      </c>
      <c r="I55" s="7">
        <f>(G55*H55)/48</f>
        <v/>
      </c>
      <c r="J55" s="7">
        <f>D55*E55*F55*I55</f>
        <v/>
      </c>
    </row>
    <row r="56">
      <c r="B56" s="6">
        <f>IFERROR(VLOOKUP(A56, WBS!A$4:B$200, 2, FALSE), "")</f>
        <v/>
      </c>
      <c r="G56" s="7">
        <f>IFERROR(VLOOKUP(C56, BD!A$2:C$50, 2, FALSE), 3500)</f>
        <v/>
      </c>
      <c r="H56" s="8">
        <f>IFERROR(VLOOKUP(C56, BD!A$2:C$50, 3, FALSE), 1.45)</f>
        <v/>
      </c>
      <c r="I56" s="7">
        <f>(G56*H56)/48</f>
        <v/>
      </c>
      <c r="J56" s="7">
        <f>D56*E56*F56*I56</f>
        <v/>
      </c>
    </row>
    <row r="57">
      <c r="B57" s="6">
        <f>IFERROR(VLOOKUP(A57, WBS!A$4:B$200, 2, FALSE), "")</f>
        <v/>
      </c>
      <c r="G57" s="7">
        <f>IFERROR(VLOOKUP(C57, BD!A$2:C$50, 2, FALSE), 3500)</f>
        <v/>
      </c>
      <c r="H57" s="8">
        <f>IFERROR(VLOOKUP(C57, BD!A$2:C$50, 3, FALSE), 1.45)</f>
        <v/>
      </c>
      <c r="I57" s="7">
        <f>(G57*H57)/48</f>
        <v/>
      </c>
      <c r="J57" s="7">
        <f>D57*E57*F57*I57</f>
        <v/>
      </c>
    </row>
    <row r="58">
      <c r="B58" s="6">
        <f>IFERROR(VLOOKUP(A58, WBS!A$4:B$200, 2, FALSE), "")</f>
        <v/>
      </c>
      <c r="G58" s="7">
        <f>IFERROR(VLOOKUP(C58, BD!A$2:C$50, 2, FALSE), 3500)</f>
        <v/>
      </c>
      <c r="H58" s="8">
        <f>IFERROR(VLOOKUP(C58, BD!A$2:C$50, 3, FALSE), 1.45)</f>
        <v/>
      </c>
      <c r="I58" s="7">
        <f>(G58*H58)/48</f>
        <v/>
      </c>
      <c r="J58" s="7">
        <f>D58*E58*F58*I58</f>
        <v/>
      </c>
    </row>
    <row r="59">
      <c r="B59" s="6">
        <f>IFERROR(VLOOKUP(A59, WBS!A$4:B$200, 2, FALSE), "")</f>
        <v/>
      </c>
      <c r="G59" s="7">
        <f>IFERROR(VLOOKUP(C59, BD!A$2:C$50, 2, FALSE), 3500)</f>
        <v/>
      </c>
      <c r="H59" s="8">
        <f>IFERROR(VLOOKUP(C59, BD!A$2:C$50, 3, FALSE), 1.45)</f>
        <v/>
      </c>
      <c r="I59" s="7">
        <f>(G59*H59)/48</f>
        <v/>
      </c>
      <c r="J59" s="7">
        <f>D59*E59*F59*I59</f>
        <v/>
      </c>
    </row>
    <row r="60">
      <c r="B60" s="6">
        <f>IFERROR(VLOOKUP(A60, WBS!A$4:B$200, 2, FALSE), "")</f>
        <v/>
      </c>
      <c r="G60" s="7">
        <f>IFERROR(VLOOKUP(C60, BD!A$2:C$50, 2, FALSE), 3500)</f>
        <v/>
      </c>
      <c r="H60" s="8">
        <f>IFERROR(VLOOKUP(C60, BD!A$2:C$50, 3, FALSE), 1.45)</f>
        <v/>
      </c>
      <c r="I60" s="7">
        <f>(G60*H60)/48</f>
        <v/>
      </c>
      <c r="J60" s="7">
        <f>D60*E60*F60*I60</f>
        <v/>
      </c>
    </row>
    <row r="61">
      <c r="B61" s="6">
        <f>IFERROR(VLOOKUP(A61, WBS!A$4:B$200, 2, FALSE), "")</f>
        <v/>
      </c>
      <c r="G61" s="7">
        <f>IFERROR(VLOOKUP(C61, BD!A$2:C$50, 2, FALSE), 3500)</f>
        <v/>
      </c>
      <c r="H61" s="8">
        <f>IFERROR(VLOOKUP(C61, BD!A$2:C$50, 3, FALSE), 1.45)</f>
        <v/>
      </c>
      <c r="I61" s="7">
        <f>(G61*H61)/48</f>
        <v/>
      </c>
      <c r="J61" s="7">
        <f>D61*E61*F61*I61</f>
        <v/>
      </c>
    </row>
    <row r="62">
      <c r="B62" s="6">
        <f>IFERROR(VLOOKUP(A62, WBS!A$4:B$200, 2, FALSE), "")</f>
        <v/>
      </c>
      <c r="G62" s="7">
        <f>IFERROR(VLOOKUP(C62, BD!A$2:C$50, 2, FALSE), 3500)</f>
        <v/>
      </c>
      <c r="H62" s="8">
        <f>IFERROR(VLOOKUP(C62, BD!A$2:C$50, 3, FALSE), 1.45)</f>
        <v/>
      </c>
      <c r="I62" s="7">
        <f>(G62*H62)/48</f>
        <v/>
      </c>
      <c r="J62" s="7">
        <f>D62*E62*F62*I62</f>
        <v/>
      </c>
    </row>
    <row r="63">
      <c r="B63" s="6">
        <f>IFERROR(VLOOKUP(A63, WBS!A$4:B$200, 2, FALSE), "")</f>
        <v/>
      </c>
      <c r="G63" s="7">
        <f>IFERROR(VLOOKUP(C63, BD!A$2:C$50, 2, FALSE), 3500)</f>
        <v/>
      </c>
      <c r="H63" s="8">
        <f>IFERROR(VLOOKUP(C63, BD!A$2:C$50, 3, FALSE), 1.45)</f>
        <v/>
      </c>
      <c r="I63" s="7">
        <f>(G63*H63)/48</f>
        <v/>
      </c>
      <c r="J63" s="7">
        <f>D63*E63*F63*I63</f>
        <v/>
      </c>
    </row>
    <row r="64">
      <c r="B64" s="6">
        <f>IFERROR(VLOOKUP(A64, WBS!A$4:B$200, 2, FALSE), "")</f>
        <v/>
      </c>
      <c r="G64" s="7">
        <f>IFERROR(VLOOKUP(C64, BD!A$2:C$50, 2, FALSE), 3500)</f>
        <v/>
      </c>
      <c r="H64" s="8">
        <f>IFERROR(VLOOKUP(C64, BD!A$2:C$50, 3, FALSE), 1.45)</f>
        <v/>
      </c>
      <c r="I64" s="7">
        <f>(G64*H64)/48</f>
        <v/>
      </c>
      <c r="J64" s="7">
        <f>D64*E64*F64*I64</f>
        <v/>
      </c>
    </row>
    <row r="65">
      <c r="B65" s="6">
        <f>IFERROR(VLOOKUP(A65, WBS!A$4:B$200, 2, FALSE), "")</f>
        <v/>
      </c>
      <c r="G65" s="7">
        <f>IFERROR(VLOOKUP(C65, BD!A$2:C$50, 2, FALSE), 3500)</f>
        <v/>
      </c>
      <c r="H65" s="8">
        <f>IFERROR(VLOOKUP(C65, BD!A$2:C$50, 3, FALSE), 1.45)</f>
        <v/>
      </c>
      <c r="I65" s="7">
        <f>(G65*H65)/48</f>
        <v/>
      </c>
      <c r="J65" s="7">
        <f>D65*E65*F65*I65</f>
        <v/>
      </c>
    </row>
    <row r="66">
      <c r="B66" s="6">
        <f>IFERROR(VLOOKUP(A66, WBS!A$4:B$200, 2, FALSE), "")</f>
        <v/>
      </c>
      <c r="G66" s="7">
        <f>IFERROR(VLOOKUP(C66, BD!A$2:C$50, 2, FALSE), 3500)</f>
        <v/>
      </c>
      <c r="H66" s="8">
        <f>IFERROR(VLOOKUP(C66, BD!A$2:C$50, 3, FALSE), 1.45)</f>
        <v/>
      </c>
      <c r="I66" s="7">
        <f>(G66*H66)/48</f>
        <v/>
      </c>
      <c r="J66" s="7">
        <f>D66*E66*F66*I66</f>
        <v/>
      </c>
    </row>
    <row r="67">
      <c r="B67" s="6">
        <f>IFERROR(VLOOKUP(A67, WBS!A$4:B$200, 2, FALSE), "")</f>
        <v/>
      </c>
      <c r="G67" s="7">
        <f>IFERROR(VLOOKUP(C67, BD!A$2:C$50, 2, FALSE), 3500)</f>
        <v/>
      </c>
      <c r="H67" s="8">
        <f>IFERROR(VLOOKUP(C67, BD!A$2:C$50, 3, FALSE), 1.45)</f>
        <v/>
      </c>
      <c r="I67" s="7">
        <f>(G67*H67)/48</f>
        <v/>
      </c>
      <c r="J67" s="7">
        <f>D67*E67*F67*I67</f>
        <v/>
      </c>
    </row>
    <row r="68">
      <c r="B68" s="6">
        <f>IFERROR(VLOOKUP(A68, WBS!A$4:B$200, 2, FALSE), "")</f>
        <v/>
      </c>
      <c r="G68" s="7">
        <f>IFERROR(VLOOKUP(C68, BD!A$2:C$50, 2, FALSE), 3500)</f>
        <v/>
      </c>
      <c r="H68" s="8">
        <f>IFERROR(VLOOKUP(C68, BD!A$2:C$50, 3, FALSE), 1.45)</f>
        <v/>
      </c>
      <c r="I68" s="7">
        <f>(G68*H68)/48</f>
        <v/>
      </c>
      <c r="J68" s="7">
        <f>D68*E68*F68*I68</f>
        <v/>
      </c>
    </row>
    <row r="69">
      <c r="B69" s="6">
        <f>IFERROR(VLOOKUP(A69, WBS!A$4:B$200, 2, FALSE), "")</f>
        <v/>
      </c>
      <c r="G69" s="7">
        <f>IFERROR(VLOOKUP(C69, BD!A$2:C$50, 2, FALSE), 3500)</f>
        <v/>
      </c>
      <c r="H69" s="8">
        <f>IFERROR(VLOOKUP(C69, BD!A$2:C$50, 3, FALSE), 1.45)</f>
        <v/>
      </c>
      <c r="I69" s="7">
        <f>(G69*H69)/48</f>
        <v/>
      </c>
      <c r="J69" s="7">
        <f>D69*E69*F69*I69</f>
        <v/>
      </c>
    </row>
    <row r="70">
      <c r="B70" s="6">
        <f>IFERROR(VLOOKUP(A70, WBS!A$4:B$200, 2, FALSE), "")</f>
        <v/>
      </c>
      <c r="G70" s="7">
        <f>IFERROR(VLOOKUP(C70, BD!A$2:C$50, 2, FALSE), 3500)</f>
        <v/>
      </c>
      <c r="H70" s="8">
        <f>IFERROR(VLOOKUP(C70, BD!A$2:C$50, 3, FALSE), 1.45)</f>
        <v/>
      </c>
      <c r="I70" s="7">
        <f>(G70*H70)/48</f>
        <v/>
      </c>
      <c r="J70" s="7">
        <f>D70*E70*F70*I70</f>
        <v/>
      </c>
    </row>
    <row r="71">
      <c r="B71" s="6">
        <f>IFERROR(VLOOKUP(A71, WBS!A$4:B$200, 2, FALSE), "")</f>
        <v/>
      </c>
      <c r="G71" s="7">
        <f>IFERROR(VLOOKUP(C71, BD!A$2:C$50, 2, FALSE), 3500)</f>
        <v/>
      </c>
      <c r="H71" s="8">
        <f>IFERROR(VLOOKUP(C71, BD!A$2:C$50, 3, FALSE), 1.45)</f>
        <v/>
      </c>
      <c r="I71" s="7">
        <f>(G71*H71)/48</f>
        <v/>
      </c>
      <c r="J71" s="7">
        <f>D71*E71*F71*I71</f>
        <v/>
      </c>
    </row>
    <row r="72">
      <c r="B72" s="6">
        <f>IFERROR(VLOOKUP(A72, WBS!A$4:B$200, 2, FALSE), "")</f>
        <v/>
      </c>
      <c r="G72" s="7">
        <f>IFERROR(VLOOKUP(C72, BD!A$2:C$50, 2, FALSE), 3500)</f>
        <v/>
      </c>
      <c r="H72" s="8">
        <f>IFERROR(VLOOKUP(C72, BD!A$2:C$50, 3, FALSE), 1.45)</f>
        <v/>
      </c>
      <c r="I72" s="7">
        <f>(G72*H72)/48</f>
        <v/>
      </c>
      <c r="J72" s="7">
        <f>D72*E72*F72*I72</f>
        <v/>
      </c>
    </row>
    <row r="73">
      <c r="B73" s="6">
        <f>IFERROR(VLOOKUP(A73, WBS!A$4:B$200, 2, FALSE), "")</f>
        <v/>
      </c>
      <c r="G73" s="7">
        <f>IFERROR(VLOOKUP(C73, BD!A$2:C$50, 2, FALSE), 3500)</f>
        <v/>
      </c>
      <c r="H73" s="8">
        <f>IFERROR(VLOOKUP(C73, BD!A$2:C$50, 3, FALSE), 1.45)</f>
        <v/>
      </c>
      <c r="I73" s="7">
        <f>(G73*H73)/48</f>
        <v/>
      </c>
      <c r="J73" s="7">
        <f>D73*E73*F73*I73</f>
        <v/>
      </c>
    </row>
    <row r="74">
      <c r="B74" s="6">
        <f>IFERROR(VLOOKUP(A74, WBS!A$4:B$200, 2, FALSE), "")</f>
        <v/>
      </c>
      <c r="G74" s="7">
        <f>IFERROR(VLOOKUP(C74, BD!A$2:C$50, 2, FALSE), 3500)</f>
        <v/>
      </c>
      <c r="H74" s="8">
        <f>IFERROR(VLOOKUP(C74, BD!A$2:C$50, 3, FALSE), 1.45)</f>
        <v/>
      </c>
      <c r="I74" s="7">
        <f>(G74*H74)/48</f>
        <v/>
      </c>
      <c r="J74" s="7">
        <f>D74*E74*F74*I74</f>
        <v/>
      </c>
    </row>
    <row r="75">
      <c r="B75" s="6">
        <f>IFERROR(VLOOKUP(A75, WBS!A$4:B$200, 2, FALSE), "")</f>
        <v/>
      </c>
      <c r="G75" s="7">
        <f>IFERROR(VLOOKUP(C75, BD!A$2:C$50, 2, FALSE), 3500)</f>
        <v/>
      </c>
      <c r="H75" s="8">
        <f>IFERROR(VLOOKUP(C75, BD!A$2:C$50, 3, FALSE), 1.45)</f>
        <v/>
      </c>
      <c r="I75" s="7">
        <f>(G75*H75)/48</f>
        <v/>
      </c>
      <c r="J75" s="7">
        <f>D75*E75*F75*I75</f>
        <v/>
      </c>
    </row>
    <row r="76">
      <c r="B76" s="6">
        <f>IFERROR(VLOOKUP(A76, WBS!A$4:B$200, 2, FALSE), "")</f>
        <v/>
      </c>
      <c r="G76" s="7">
        <f>IFERROR(VLOOKUP(C76, BD!A$2:C$50, 2, FALSE), 3500)</f>
        <v/>
      </c>
      <c r="H76" s="8">
        <f>IFERROR(VLOOKUP(C76, BD!A$2:C$50, 3, FALSE), 1.45)</f>
        <v/>
      </c>
      <c r="I76" s="7">
        <f>(G76*H76)/48</f>
        <v/>
      </c>
      <c r="J76" s="7">
        <f>D76*E76*F76*I76</f>
        <v/>
      </c>
    </row>
    <row r="77">
      <c r="B77" s="6">
        <f>IFERROR(VLOOKUP(A77, WBS!A$4:B$200, 2, FALSE), "")</f>
        <v/>
      </c>
      <c r="G77" s="7">
        <f>IFERROR(VLOOKUP(C77, BD!A$2:C$50, 2, FALSE), 3500)</f>
        <v/>
      </c>
      <c r="H77" s="8">
        <f>IFERROR(VLOOKUP(C77, BD!A$2:C$50, 3, FALSE), 1.45)</f>
        <v/>
      </c>
      <c r="I77" s="7">
        <f>(G77*H77)/48</f>
        <v/>
      </c>
      <c r="J77" s="7">
        <f>D77*E77*F77*I77</f>
        <v/>
      </c>
    </row>
    <row r="78">
      <c r="B78" s="6">
        <f>IFERROR(VLOOKUP(A78, WBS!A$4:B$200, 2, FALSE), "")</f>
        <v/>
      </c>
      <c r="G78" s="7">
        <f>IFERROR(VLOOKUP(C78, BD!A$2:C$50, 2, FALSE), 3500)</f>
        <v/>
      </c>
      <c r="H78" s="8">
        <f>IFERROR(VLOOKUP(C78, BD!A$2:C$50, 3, FALSE), 1.45)</f>
        <v/>
      </c>
      <c r="I78" s="7">
        <f>(G78*H78)/48</f>
        <v/>
      </c>
      <c r="J78" s="7">
        <f>D78*E78*F78*I78</f>
        <v/>
      </c>
    </row>
    <row r="79">
      <c r="B79" s="6">
        <f>IFERROR(VLOOKUP(A79, WBS!A$4:B$200, 2, FALSE), "")</f>
        <v/>
      </c>
      <c r="G79" s="7">
        <f>IFERROR(VLOOKUP(C79, BD!A$2:C$50, 2, FALSE), 3500)</f>
        <v/>
      </c>
      <c r="H79" s="8">
        <f>IFERROR(VLOOKUP(C79, BD!A$2:C$50, 3, FALSE), 1.45)</f>
        <v/>
      </c>
      <c r="I79" s="7">
        <f>(G79*H79)/48</f>
        <v/>
      </c>
      <c r="J79" s="7">
        <f>D79*E79*F79*I79</f>
        <v/>
      </c>
    </row>
    <row r="80">
      <c r="B80" s="6">
        <f>IFERROR(VLOOKUP(A80, WBS!A$4:B$200, 2, FALSE), "")</f>
        <v/>
      </c>
      <c r="G80" s="7">
        <f>IFERROR(VLOOKUP(C80, BD!A$2:C$50, 2, FALSE), 3500)</f>
        <v/>
      </c>
      <c r="H80" s="8">
        <f>IFERROR(VLOOKUP(C80, BD!A$2:C$50, 3, FALSE), 1.45)</f>
        <v/>
      </c>
      <c r="I80" s="7">
        <f>(G80*H80)/48</f>
        <v/>
      </c>
      <c r="J80" s="7">
        <f>D80*E80*F80*I80</f>
        <v/>
      </c>
    </row>
    <row r="81">
      <c r="B81" s="6">
        <f>IFERROR(VLOOKUP(A81, WBS!A$4:B$200, 2, FALSE), "")</f>
        <v/>
      </c>
      <c r="G81" s="7">
        <f>IFERROR(VLOOKUP(C81, BD!A$2:C$50, 2, FALSE), 3500)</f>
        <v/>
      </c>
      <c r="H81" s="8">
        <f>IFERROR(VLOOKUP(C81, BD!A$2:C$50, 3, FALSE), 1.45)</f>
        <v/>
      </c>
      <c r="I81" s="7">
        <f>(G81*H81)/48</f>
        <v/>
      </c>
      <c r="J81" s="7">
        <f>D81*E81*F81*I81</f>
        <v/>
      </c>
    </row>
    <row r="82">
      <c r="B82" s="6">
        <f>IFERROR(VLOOKUP(A82, WBS!A$4:B$200, 2, FALSE), "")</f>
        <v/>
      </c>
      <c r="G82" s="7">
        <f>IFERROR(VLOOKUP(C82, BD!A$2:C$50, 2, FALSE), 3500)</f>
        <v/>
      </c>
      <c r="H82" s="8">
        <f>IFERROR(VLOOKUP(C82, BD!A$2:C$50, 3, FALSE), 1.45)</f>
        <v/>
      </c>
      <c r="I82" s="7">
        <f>(G82*H82)/48</f>
        <v/>
      </c>
      <c r="J82" s="7">
        <f>D82*E82*F82*I82</f>
        <v/>
      </c>
    </row>
    <row r="83">
      <c r="B83" s="6">
        <f>IFERROR(VLOOKUP(A83, WBS!A$4:B$200, 2, FALSE), "")</f>
        <v/>
      </c>
      <c r="G83" s="7">
        <f>IFERROR(VLOOKUP(C83, BD!A$2:C$50, 2, FALSE), 3500)</f>
        <v/>
      </c>
      <c r="H83" s="8">
        <f>IFERROR(VLOOKUP(C83, BD!A$2:C$50, 3, FALSE), 1.45)</f>
        <v/>
      </c>
      <c r="I83" s="7">
        <f>(G83*H83)/48</f>
        <v/>
      </c>
      <c r="J83" s="7">
        <f>D83*E83*F83*I83</f>
        <v/>
      </c>
    </row>
    <row r="84">
      <c r="B84" s="6">
        <f>IFERROR(VLOOKUP(A84, WBS!A$4:B$200, 2, FALSE), "")</f>
        <v/>
      </c>
      <c r="G84" s="7">
        <f>IFERROR(VLOOKUP(C84, BD!A$2:C$50, 2, FALSE), 3500)</f>
        <v/>
      </c>
      <c r="H84" s="8">
        <f>IFERROR(VLOOKUP(C84, BD!A$2:C$50, 3, FALSE), 1.45)</f>
        <v/>
      </c>
      <c r="I84" s="7">
        <f>(G84*H84)/48</f>
        <v/>
      </c>
      <c r="J84" s="7">
        <f>D84*E84*F84*I84</f>
        <v/>
      </c>
    </row>
    <row r="85">
      <c r="B85" s="6">
        <f>IFERROR(VLOOKUP(A85, WBS!A$4:B$200, 2, FALSE), "")</f>
        <v/>
      </c>
      <c r="G85" s="7">
        <f>IFERROR(VLOOKUP(C85, BD!A$2:C$50, 2, FALSE), 3500)</f>
        <v/>
      </c>
      <c r="H85" s="8">
        <f>IFERROR(VLOOKUP(C85, BD!A$2:C$50, 3, FALSE), 1.45)</f>
        <v/>
      </c>
      <c r="I85" s="7">
        <f>(G85*H85)/48</f>
        <v/>
      </c>
      <c r="J85" s="7">
        <f>D85*E85*F85*I85</f>
        <v/>
      </c>
    </row>
    <row r="86">
      <c r="B86" s="6">
        <f>IFERROR(VLOOKUP(A86, WBS!A$4:B$200, 2, FALSE), "")</f>
        <v/>
      </c>
      <c r="G86" s="7">
        <f>IFERROR(VLOOKUP(C86, BD!A$2:C$50, 2, FALSE), 3500)</f>
        <v/>
      </c>
      <c r="H86" s="8">
        <f>IFERROR(VLOOKUP(C86, BD!A$2:C$50, 3, FALSE), 1.45)</f>
        <v/>
      </c>
      <c r="I86" s="7">
        <f>(G86*H86)/48</f>
        <v/>
      </c>
      <c r="J86" s="7">
        <f>D86*E86*F86*I86</f>
        <v/>
      </c>
    </row>
    <row r="87">
      <c r="B87" s="6">
        <f>IFERROR(VLOOKUP(A87, WBS!A$4:B$200, 2, FALSE), "")</f>
        <v/>
      </c>
      <c r="G87" s="7">
        <f>IFERROR(VLOOKUP(C87, BD!A$2:C$50, 2, FALSE), 3500)</f>
        <v/>
      </c>
      <c r="H87" s="8">
        <f>IFERROR(VLOOKUP(C87, BD!A$2:C$50, 3, FALSE), 1.45)</f>
        <v/>
      </c>
      <c r="I87" s="7">
        <f>(G87*H87)/48</f>
        <v/>
      </c>
      <c r="J87" s="7">
        <f>D87*E87*F87*I87</f>
        <v/>
      </c>
    </row>
    <row r="88">
      <c r="B88" s="6">
        <f>IFERROR(VLOOKUP(A88, WBS!A$4:B$200, 2, FALSE), "")</f>
        <v/>
      </c>
      <c r="G88" s="7">
        <f>IFERROR(VLOOKUP(C88, BD!A$2:C$50, 2, FALSE), 3500)</f>
        <v/>
      </c>
      <c r="H88" s="8">
        <f>IFERROR(VLOOKUP(C88, BD!A$2:C$50, 3, FALSE), 1.45)</f>
        <v/>
      </c>
      <c r="I88" s="7">
        <f>(G88*H88)/48</f>
        <v/>
      </c>
      <c r="J88" s="7">
        <f>D88*E88*F88*I88</f>
        <v/>
      </c>
    </row>
    <row r="89">
      <c r="B89" s="6">
        <f>IFERROR(VLOOKUP(A89, WBS!A$4:B$200, 2, FALSE), "")</f>
        <v/>
      </c>
      <c r="G89" s="7">
        <f>IFERROR(VLOOKUP(C89, BD!A$2:C$50, 2, FALSE), 3500)</f>
        <v/>
      </c>
      <c r="H89" s="8">
        <f>IFERROR(VLOOKUP(C89, BD!A$2:C$50, 3, FALSE), 1.45)</f>
        <v/>
      </c>
      <c r="I89" s="7">
        <f>(G89*H89)/48</f>
        <v/>
      </c>
      <c r="J89" s="7">
        <f>D89*E89*F89*I89</f>
        <v/>
      </c>
    </row>
    <row r="90">
      <c r="B90" s="6">
        <f>IFERROR(VLOOKUP(A90, WBS!A$4:B$200, 2, FALSE), "")</f>
        <v/>
      </c>
      <c r="G90" s="7">
        <f>IFERROR(VLOOKUP(C90, BD!A$2:C$50, 2, FALSE), 3500)</f>
        <v/>
      </c>
      <c r="H90" s="8">
        <f>IFERROR(VLOOKUP(C90, BD!A$2:C$50, 3, FALSE), 1.45)</f>
        <v/>
      </c>
      <c r="I90" s="7">
        <f>(G90*H90)/48</f>
        <v/>
      </c>
      <c r="J90" s="7">
        <f>D90*E90*F90*I90</f>
        <v/>
      </c>
    </row>
    <row r="91">
      <c r="B91" s="6">
        <f>IFERROR(VLOOKUP(A91, WBS!A$4:B$200, 2, FALSE), "")</f>
        <v/>
      </c>
      <c r="G91" s="7">
        <f>IFERROR(VLOOKUP(C91, BD!A$2:C$50, 2, FALSE), 3500)</f>
        <v/>
      </c>
      <c r="H91" s="8">
        <f>IFERROR(VLOOKUP(C91, BD!A$2:C$50, 3, FALSE), 1.45)</f>
        <v/>
      </c>
      <c r="I91" s="7">
        <f>(G91*H91)/48</f>
        <v/>
      </c>
      <c r="J91" s="7">
        <f>D91*E91*F91*I91</f>
        <v/>
      </c>
    </row>
    <row r="92">
      <c r="B92" s="6">
        <f>IFERROR(VLOOKUP(A92, WBS!A$4:B$200, 2, FALSE), "")</f>
        <v/>
      </c>
      <c r="G92" s="7">
        <f>IFERROR(VLOOKUP(C92, BD!A$2:C$50, 2, FALSE), 3500)</f>
        <v/>
      </c>
      <c r="H92" s="8">
        <f>IFERROR(VLOOKUP(C92, BD!A$2:C$50, 3, FALSE), 1.45)</f>
        <v/>
      </c>
      <c r="I92" s="7">
        <f>(G92*H92)/48</f>
        <v/>
      </c>
      <c r="J92" s="7">
        <f>D92*E92*F92*I92</f>
        <v/>
      </c>
    </row>
    <row r="93">
      <c r="B93" s="6">
        <f>IFERROR(VLOOKUP(A93, WBS!A$4:B$200, 2, FALSE), "")</f>
        <v/>
      </c>
      <c r="G93" s="7">
        <f>IFERROR(VLOOKUP(C93, BD!A$2:C$50, 2, FALSE), 3500)</f>
        <v/>
      </c>
      <c r="H93" s="8">
        <f>IFERROR(VLOOKUP(C93, BD!A$2:C$50, 3, FALSE), 1.45)</f>
        <v/>
      </c>
      <c r="I93" s="7">
        <f>(G93*H93)/48</f>
        <v/>
      </c>
      <c r="J93" s="7">
        <f>D93*E93*F93*I93</f>
        <v/>
      </c>
    </row>
    <row r="94">
      <c r="B94" s="6">
        <f>IFERROR(VLOOKUP(A94, WBS!A$4:B$200, 2, FALSE), "")</f>
        <v/>
      </c>
      <c r="G94" s="7">
        <f>IFERROR(VLOOKUP(C94, BD!A$2:C$50, 2, FALSE), 3500)</f>
        <v/>
      </c>
      <c r="H94" s="8">
        <f>IFERROR(VLOOKUP(C94, BD!A$2:C$50, 3, FALSE), 1.45)</f>
        <v/>
      </c>
      <c r="I94" s="7">
        <f>(G94*H94)/48</f>
        <v/>
      </c>
      <c r="J94" s="7">
        <f>D94*E94*F94*I94</f>
        <v/>
      </c>
    </row>
    <row r="95">
      <c r="B95" s="6">
        <f>IFERROR(VLOOKUP(A95, WBS!A$4:B$200, 2, FALSE), "")</f>
        <v/>
      </c>
      <c r="G95" s="7">
        <f>IFERROR(VLOOKUP(C95, BD!A$2:C$50, 2, FALSE), 3500)</f>
        <v/>
      </c>
      <c r="H95" s="8">
        <f>IFERROR(VLOOKUP(C95, BD!A$2:C$50, 3, FALSE), 1.45)</f>
        <v/>
      </c>
      <c r="I95" s="7">
        <f>(G95*H95)/48</f>
        <v/>
      </c>
      <c r="J95" s="7">
        <f>D95*E95*F95*I95</f>
        <v/>
      </c>
    </row>
    <row r="96">
      <c r="B96" s="6">
        <f>IFERROR(VLOOKUP(A96, WBS!A$4:B$200, 2, FALSE), "")</f>
        <v/>
      </c>
      <c r="G96" s="7">
        <f>IFERROR(VLOOKUP(C96, BD!A$2:C$50, 2, FALSE), 3500)</f>
        <v/>
      </c>
      <c r="H96" s="8">
        <f>IFERROR(VLOOKUP(C96, BD!A$2:C$50, 3, FALSE), 1.45)</f>
        <v/>
      </c>
      <c r="I96" s="7">
        <f>(G96*H96)/48</f>
        <v/>
      </c>
      <c r="J96" s="7">
        <f>D96*E96*F96*I96</f>
        <v/>
      </c>
    </row>
    <row r="97">
      <c r="B97" s="6">
        <f>IFERROR(VLOOKUP(A97, WBS!A$4:B$200, 2, FALSE), "")</f>
        <v/>
      </c>
      <c r="G97" s="7">
        <f>IFERROR(VLOOKUP(C97, BD!A$2:C$50, 2, FALSE), 3500)</f>
        <v/>
      </c>
      <c r="H97" s="8">
        <f>IFERROR(VLOOKUP(C97, BD!A$2:C$50, 3, FALSE), 1.45)</f>
        <v/>
      </c>
      <c r="I97" s="7">
        <f>(G97*H97)/48</f>
        <v/>
      </c>
      <c r="J97" s="7">
        <f>D97*E97*F97*I97</f>
        <v/>
      </c>
    </row>
    <row r="98">
      <c r="B98" s="6">
        <f>IFERROR(VLOOKUP(A98, WBS!A$4:B$200, 2, FALSE), "")</f>
        <v/>
      </c>
      <c r="G98" s="7">
        <f>IFERROR(VLOOKUP(C98, BD!A$2:C$50, 2, FALSE), 3500)</f>
        <v/>
      </c>
      <c r="H98" s="8">
        <f>IFERROR(VLOOKUP(C98, BD!A$2:C$50, 3, FALSE), 1.45)</f>
        <v/>
      </c>
      <c r="I98" s="7">
        <f>(G98*H98)/48</f>
        <v/>
      </c>
      <c r="J98" s="7">
        <f>D98*E98*F98*I98</f>
        <v/>
      </c>
    </row>
    <row r="99">
      <c r="B99" s="6">
        <f>IFERROR(VLOOKUP(A99, WBS!A$4:B$200, 2, FALSE), "")</f>
        <v/>
      </c>
      <c r="G99" s="7">
        <f>IFERROR(VLOOKUP(C99, BD!A$2:C$50, 2, FALSE), 3500)</f>
        <v/>
      </c>
      <c r="H99" s="8">
        <f>IFERROR(VLOOKUP(C99, BD!A$2:C$50, 3, FALSE), 1.45)</f>
        <v/>
      </c>
      <c r="I99" s="7">
        <f>(G99*H99)/48</f>
        <v/>
      </c>
      <c r="J99" s="7">
        <f>D99*E99*F99*I99</f>
        <v/>
      </c>
    </row>
    <row r="100">
      <c r="B100" s="6">
        <f>IFERROR(VLOOKUP(A100, WBS!A$4:B$200, 2, FALSE), "")</f>
        <v/>
      </c>
      <c r="G100" s="7">
        <f>IFERROR(VLOOKUP(C100, BD!A$2:C$50, 2, FALSE), 3500)</f>
        <v/>
      </c>
      <c r="H100" s="8">
        <f>IFERROR(VLOOKUP(C100, BD!A$2:C$50, 3, FALSE), 1.45)</f>
        <v/>
      </c>
      <c r="I100" s="7">
        <f>(G100*H100)/48</f>
        <v/>
      </c>
      <c r="J100" s="7">
        <f>D100*E100*F100*I100</f>
        <v/>
      </c>
    </row>
    <row r="101">
      <c r="B101" s="6">
        <f>IFERROR(VLOOKUP(A101, WBS!A$4:B$200, 2, FALSE), "")</f>
        <v/>
      </c>
      <c r="G101" s="7">
        <f>IFERROR(VLOOKUP(C101, BD!A$2:C$50, 2, FALSE), 3500)</f>
        <v/>
      </c>
      <c r="H101" s="8">
        <f>IFERROR(VLOOKUP(C101, BD!A$2:C$50, 3, FALSE), 1.45)</f>
        <v/>
      </c>
      <c r="I101" s="7">
        <f>(G101*H101)/48</f>
        <v/>
      </c>
      <c r="J101" s="7">
        <f>D101*E101*F101*I101</f>
        <v/>
      </c>
    </row>
    <row r="102">
      <c r="B102" s="6">
        <f>IFERROR(VLOOKUP(A102, WBS!A$4:B$200, 2, FALSE), "")</f>
        <v/>
      </c>
      <c r="G102" s="7">
        <f>IFERROR(VLOOKUP(C102, BD!A$2:C$50, 2, FALSE), 3500)</f>
        <v/>
      </c>
      <c r="H102" s="8">
        <f>IFERROR(VLOOKUP(C102, BD!A$2:C$50, 3, FALSE), 1.45)</f>
        <v/>
      </c>
      <c r="I102" s="7">
        <f>(G102*H102)/48</f>
        <v/>
      </c>
      <c r="J102" s="7">
        <f>D102*E102*F102*I102</f>
        <v/>
      </c>
    </row>
    <row r="103">
      <c r="B103" s="6">
        <f>IFERROR(VLOOKUP(A103, WBS!A$4:B$200, 2, FALSE), "")</f>
        <v/>
      </c>
      <c r="G103" s="7">
        <f>IFERROR(VLOOKUP(C103, BD!A$2:C$50, 2, FALSE), 3500)</f>
        <v/>
      </c>
      <c r="H103" s="8">
        <f>IFERROR(VLOOKUP(C103, BD!A$2:C$50, 3, FALSE), 1.45)</f>
        <v/>
      </c>
      <c r="I103" s="7">
        <f>(G103*H103)/48</f>
        <v/>
      </c>
      <c r="J103" s="7">
        <f>D103*E103*F103*I103</f>
        <v/>
      </c>
    </row>
    <row r="104">
      <c r="B104" s="6">
        <f>IFERROR(VLOOKUP(A104, WBS!A$4:B$200, 2, FALSE), "")</f>
        <v/>
      </c>
      <c r="G104" s="7">
        <f>IFERROR(VLOOKUP(C104, BD!A$2:C$50, 2, FALSE), 3500)</f>
        <v/>
      </c>
      <c r="H104" s="8">
        <f>IFERROR(VLOOKUP(C104, BD!A$2:C$50, 3, FALSE), 1.45)</f>
        <v/>
      </c>
      <c r="I104" s="7">
        <f>(G104*H104)/48</f>
        <v/>
      </c>
      <c r="J104" s="7">
        <f>D104*E104*F104*I104</f>
        <v/>
      </c>
    </row>
    <row r="105">
      <c r="B105" s="6">
        <f>IFERROR(VLOOKUP(A105, WBS!A$4:B$200, 2, FALSE), "")</f>
        <v/>
      </c>
      <c r="G105" s="7">
        <f>IFERROR(VLOOKUP(C105, BD!A$2:C$50, 2, FALSE), 3500)</f>
        <v/>
      </c>
      <c r="H105" s="8">
        <f>IFERROR(VLOOKUP(C105, BD!A$2:C$50, 3, FALSE), 1.45)</f>
        <v/>
      </c>
      <c r="I105" s="7">
        <f>(G105*H105)/48</f>
        <v/>
      </c>
      <c r="J105" s="7">
        <f>D105*E105*F105*I105</f>
        <v/>
      </c>
    </row>
    <row r="106">
      <c r="B106" s="6">
        <f>IFERROR(VLOOKUP(A106, WBS!A$4:B$200, 2, FALSE), "")</f>
        <v/>
      </c>
      <c r="G106" s="7">
        <f>IFERROR(VLOOKUP(C106, BD!A$2:C$50, 2, FALSE), 3500)</f>
        <v/>
      </c>
      <c r="H106" s="8">
        <f>IFERROR(VLOOKUP(C106, BD!A$2:C$50, 3, FALSE), 1.45)</f>
        <v/>
      </c>
      <c r="I106" s="7">
        <f>(G106*H106)/48</f>
        <v/>
      </c>
      <c r="J106" s="7">
        <f>D106*E106*F106*I106</f>
        <v/>
      </c>
    </row>
    <row r="107">
      <c r="B107" s="6">
        <f>IFERROR(VLOOKUP(A107, WBS!A$4:B$200, 2, FALSE), "")</f>
        <v/>
      </c>
      <c r="G107" s="7">
        <f>IFERROR(VLOOKUP(C107, BD!A$2:C$50, 2, FALSE), 3500)</f>
        <v/>
      </c>
      <c r="H107" s="8">
        <f>IFERROR(VLOOKUP(C107, BD!A$2:C$50, 3, FALSE), 1.45)</f>
        <v/>
      </c>
      <c r="I107" s="7">
        <f>(G107*H107)/48</f>
        <v/>
      </c>
      <c r="J107" s="7">
        <f>D107*E107*F107*I107</f>
        <v/>
      </c>
    </row>
    <row r="108">
      <c r="B108" s="6">
        <f>IFERROR(VLOOKUP(A108, WBS!A$4:B$200, 2, FALSE), "")</f>
        <v/>
      </c>
      <c r="G108" s="7">
        <f>IFERROR(VLOOKUP(C108, BD!A$2:C$50, 2, FALSE), 3500)</f>
        <v/>
      </c>
      <c r="H108" s="8">
        <f>IFERROR(VLOOKUP(C108, BD!A$2:C$50, 3, FALSE), 1.45)</f>
        <v/>
      </c>
      <c r="I108" s="7">
        <f>(G108*H108)/48</f>
        <v/>
      </c>
      <c r="J108" s="7">
        <f>D108*E108*F108*I108</f>
        <v/>
      </c>
    </row>
    <row r="109">
      <c r="B109" s="6">
        <f>IFERROR(VLOOKUP(A109, WBS!A$4:B$200, 2, FALSE), "")</f>
        <v/>
      </c>
      <c r="G109" s="7">
        <f>IFERROR(VLOOKUP(C109, BD!A$2:C$50, 2, FALSE), 3500)</f>
        <v/>
      </c>
      <c r="H109" s="8">
        <f>IFERROR(VLOOKUP(C109, BD!A$2:C$50, 3, FALSE), 1.45)</f>
        <v/>
      </c>
      <c r="I109" s="7">
        <f>(G109*H109)/48</f>
        <v/>
      </c>
      <c r="J109" s="7">
        <f>D109*E109*F109*I109</f>
        <v/>
      </c>
    </row>
    <row r="110">
      <c r="B110" s="6">
        <f>IFERROR(VLOOKUP(A110, WBS!A$4:B$200, 2, FALSE), "")</f>
        <v/>
      </c>
      <c r="G110" s="7">
        <f>IFERROR(VLOOKUP(C110, BD!A$2:C$50, 2, FALSE), 3500)</f>
        <v/>
      </c>
      <c r="H110" s="8">
        <f>IFERROR(VLOOKUP(C110, BD!A$2:C$50, 3, FALSE), 1.45)</f>
        <v/>
      </c>
      <c r="I110" s="7">
        <f>(G110*H110)/48</f>
        <v/>
      </c>
      <c r="J110" s="7">
        <f>D110*E110*F110*I110</f>
        <v/>
      </c>
    </row>
    <row r="111">
      <c r="B111" s="6">
        <f>IFERROR(VLOOKUP(A111, WBS!A$4:B$200, 2, FALSE), "")</f>
        <v/>
      </c>
      <c r="G111" s="7">
        <f>IFERROR(VLOOKUP(C111, BD!A$2:C$50, 2, FALSE), 3500)</f>
        <v/>
      </c>
      <c r="H111" s="8">
        <f>IFERROR(VLOOKUP(C111, BD!A$2:C$50, 3, FALSE), 1.45)</f>
        <v/>
      </c>
      <c r="I111" s="7">
        <f>(G111*H111)/48</f>
        <v/>
      </c>
      <c r="J111" s="7">
        <f>D111*E111*F111*I111</f>
        <v/>
      </c>
    </row>
    <row r="112">
      <c r="B112" s="6">
        <f>IFERROR(VLOOKUP(A112, WBS!A$4:B$200, 2, FALSE), "")</f>
        <v/>
      </c>
      <c r="G112" s="7">
        <f>IFERROR(VLOOKUP(C112, BD!A$2:C$50, 2, FALSE), 3500)</f>
        <v/>
      </c>
      <c r="H112" s="8">
        <f>IFERROR(VLOOKUP(C112, BD!A$2:C$50, 3, FALSE), 1.45)</f>
        <v/>
      </c>
      <c r="I112" s="7">
        <f>(G112*H112)/48</f>
        <v/>
      </c>
      <c r="J112" s="7">
        <f>D112*E112*F112*I112</f>
        <v/>
      </c>
    </row>
    <row r="113">
      <c r="B113" s="6">
        <f>IFERROR(VLOOKUP(A113, WBS!A$4:B$200, 2, FALSE), "")</f>
        <v/>
      </c>
      <c r="G113" s="7">
        <f>IFERROR(VLOOKUP(C113, BD!A$2:C$50, 2, FALSE), 3500)</f>
        <v/>
      </c>
      <c r="H113" s="8">
        <f>IFERROR(VLOOKUP(C113, BD!A$2:C$50, 3, FALSE), 1.45)</f>
        <v/>
      </c>
      <c r="I113" s="7">
        <f>(G113*H113)/48</f>
        <v/>
      </c>
      <c r="J113" s="7">
        <f>D113*E113*F113*I113</f>
        <v/>
      </c>
    </row>
    <row r="114">
      <c r="B114" s="6">
        <f>IFERROR(VLOOKUP(A114, WBS!A$4:B$200, 2, FALSE), "")</f>
        <v/>
      </c>
      <c r="G114" s="7">
        <f>IFERROR(VLOOKUP(C114, BD!A$2:C$50, 2, FALSE), 3500)</f>
        <v/>
      </c>
      <c r="H114" s="8">
        <f>IFERROR(VLOOKUP(C114, BD!A$2:C$50, 3, FALSE), 1.45)</f>
        <v/>
      </c>
      <c r="I114" s="7">
        <f>(G114*H114)/48</f>
        <v/>
      </c>
      <c r="J114" s="7">
        <f>D114*E114*F114*I114</f>
        <v/>
      </c>
    </row>
    <row r="115">
      <c r="B115" s="6">
        <f>IFERROR(VLOOKUP(A115, WBS!A$4:B$200, 2, FALSE), "")</f>
        <v/>
      </c>
      <c r="G115" s="7">
        <f>IFERROR(VLOOKUP(C115, BD!A$2:C$50, 2, FALSE), 3500)</f>
        <v/>
      </c>
      <c r="H115" s="8">
        <f>IFERROR(VLOOKUP(C115, BD!A$2:C$50, 3, FALSE), 1.45)</f>
        <v/>
      </c>
      <c r="I115" s="7">
        <f>(G115*H115)/48</f>
        <v/>
      </c>
      <c r="J115" s="7">
        <f>D115*E115*F115*I115</f>
        <v/>
      </c>
    </row>
    <row r="116">
      <c r="B116" s="6">
        <f>IFERROR(VLOOKUP(A116, WBS!A$4:B$200, 2, FALSE), "")</f>
        <v/>
      </c>
      <c r="G116" s="7">
        <f>IFERROR(VLOOKUP(C116, BD!A$2:C$50, 2, FALSE), 3500)</f>
        <v/>
      </c>
      <c r="H116" s="8">
        <f>IFERROR(VLOOKUP(C116, BD!A$2:C$50, 3, FALSE), 1.45)</f>
        <v/>
      </c>
      <c r="I116" s="7">
        <f>(G116*H116)/48</f>
        <v/>
      </c>
      <c r="J116" s="7">
        <f>D116*E116*F116*I116</f>
        <v/>
      </c>
    </row>
    <row r="117">
      <c r="B117" s="6">
        <f>IFERROR(VLOOKUP(A117, WBS!A$4:B$200, 2, FALSE), "")</f>
        <v/>
      </c>
      <c r="G117" s="7">
        <f>IFERROR(VLOOKUP(C117, BD!A$2:C$50, 2, FALSE), 3500)</f>
        <v/>
      </c>
      <c r="H117" s="8">
        <f>IFERROR(VLOOKUP(C117, BD!A$2:C$50, 3, FALSE), 1.45)</f>
        <v/>
      </c>
      <c r="I117" s="7">
        <f>(G117*H117)/48</f>
        <v/>
      </c>
      <c r="J117" s="7">
        <f>D117*E117*F117*I117</f>
        <v/>
      </c>
    </row>
    <row r="118">
      <c r="B118" s="6">
        <f>IFERROR(VLOOKUP(A118, WBS!A$4:B$200, 2, FALSE), "")</f>
        <v/>
      </c>
      <c r="G118" s="7">
        <f>IFERROR(VLOOKUP(C118, BD!A$2:C$50, 2, FALSE), 3500)</f>
        <v/>
      </c>
      <c r="H118" s="8">
        <f>IFERROR(VLOOKUP(C118, BD!A$2:C$50, 3, FALSE), 1.45)</f>
        <v/>
      </c>
      <c r="I118" s="7">
        <f>(G118*H118)/48</f>
        <v/>
      </c>
      <c r="J118" s="7">
        <f>D118*E118*F118*I118</f>
        <v/>
      </c>
    </row>
    <row r="119">
      <c r="B119" s="6">
        <f>IFERROR(VLOOKUP(A119, WBS!A$4:B$200, 2, FALSE), "")</f>
        <v/>
      </c>
      <c r="G119" s="7">
        <f>IFERROR(VLOOKUP(C119, BD!A$2:C$50, 2, FALSE), 3500)</f>
        <v/>
      </c>
      <c r="H119" s="8">
        <f>IFERROR(VLOOKUP(C119, BD!A$2:C$50, 3, FALSE), 1.45)</f>
        <v/>
      </c>
      <c r="I119" s="7">
        <f>(G119*H119)/48</f>
        <v/>
      </c>
      <c r="J119" s="7">
        <f>D119*E119*F119*I119</f>
        <v/>
      </c>
    </row>
    <row r="120">
      <c r="B120" s="6">
        <f>IFERROR(VLOOKUP(A120, WBS!A$4:B$200, 2, FALSE), "")</f>
        <v/>
      </c>
      <c r="G120" s="7">
        <f>IFERROR(VLOOKUP(C120, BD!A$2:C$50, 2, FALSE), 3500)</f>
        <v/>
      </c>
      <c r="H120" s="8">
        <f>IFERROR(VLOOKUP(C120, BD!A$2:C$50, 3, FALSE), 1.45)</f>
        <v/>
      </c>
      <c r="I120" s="7">
        <f>(G120*H120)/48</f>
        <v/>
      </c>
      <c r="J120" s="7">
        <f>D120*E120*F120*I120</f>
        <v/>
      </c>
    </row>
    <row r="121">
      <c r="B121" s="6">
        <f>IFERROR(VLOOKUP(A121, WBS!A$4:B$200, 2, FALSE), "")</f>
        <v/>
      </c>
      <c r="G121" s="7">
        <f>IFERROR(VLOOKUP(C121, BD!A$2:C$50, 2, FALSE), 3500)</f>
        <v/>
      </c>
      <c r="H121" s="8">
        <f>IFERROR(VLOOKUP(C121, BD!A$2:C$50, 3, FALSE), 1.45)</f>
        <v/>
      </c>
      <c r="I121" s="7">
        <f>(G121*H121)/48</f>
        <v/>
      </c>
      <c r="J121" s="7">
        <f>D121*E121*F121*I121</f>
        <v/>
      </c>
    </row>
    <row r="122">
      <c r="B122" s="6">
        <f>IFERROR(VLOOKUP(A122, WBS!A$4:B$200, 2, FALSE), "")</f>
        <v/>
      </c>
      <c r="G122" s="7">
        <f>IFERROR(VLOOKUP(C122, BD!A$2:C$50, 2, FALSE), 3500)</f>
        <v/>
      </c>
      <c r="H122" s="8">
        <f>IFERROR(VLOOKUP(C122, BD!A$2:C$50, 3, FALSE), 1.45)</f>
        <v/>
      </c>
      <c r="I122" s="7">
        <f>(G122*H122)/48</f>
        <v/>
      </c>
      <c r="J122" s="7">
        <f>D122*E122*F122*I122</f>
        <v/>
      </c>
    </row>
    <row r="123">
      <c r="B123" s="6">
        <f>IFERROR(VLOOKUP(A123, WBS!A$4:B$200, 2, FALSE), "")</f>
        <v/>
      </c>
      <c r="G123" s="7">
        <f>IFERROR(VLOOKUP(C123, BD!A$2:C$50, 2, FALSE), 3500)</f>
        <v/>
      </c>
      <c r="H123" s="8">
        <f>IFERROR(VLOOKUP(C123, BD!A$2:C$50, 3, FALSE), 1.45)</f>
        <v/>
      </c>
      <c r="I123" s="7">
        <f>(G123*H123)/48</f>
        <v/>
      </c>
      <c r="J123" s="7">
        <f>D123*E123*F123*I123</f>
        <v/>
      </c>
    </row>
    <row r="124">
      <c r="B124" s="6">
        <f>IFERROR(VLOOKUP(A124, WBS!A$4:B$200, 2, FALSE), "")</f>
        <v/>
      </c>
      <c r="G124" s="7">
        <f>IFERROR(VLOOKUP(C124, BD!A$2:C$50, 2, FALSE), 3500)</f>
        <v/>
      </c>
      <c r="H124" s="8">
        <f>IFERROR(VLOOKUP(C124, BD!A$2:C$50, 3, FALSE), 1.45)</f>
        <v/>
      </c>
      <c r="I124" s="7">
        <f>(G124*H124)/48</f>
        <v/>
      </c>
      <c r="J124" s="7">
        <f>D124*E124*F124*I124</f>
        <v/>
      </c>
    </row>
    <row r="125">
      <c r="B125" s="6">
        <f>IFERROR(VLOOKUP(A125, WBS!A$4:B$200, 2, FALSE), "")</f>
        <v/>
      </c>
      <c r="G125" s="7">
        <f>IFERROR(VLOOKUP(C125, BD!A$2:C$50, 2, FALSE), 3500)</f>
        <v/>
      </c>
      <c r="H125" s="8">
        <f>IFERROR(VLOOKUP(C125, BD!A$2:C$50, 3, FALSE), 1.45)</f>
        <v/>
      </c>
      <c r="I125" s="7">
        <f>(G125*H125)/48</f>
        <v/>
      </c>
      <c r="J125" s="7">
        <f>D125*E125*F125*I125</f>
        <v/>
      </c>
    </row>
    <row r="126">
      <c r="B126" s="6">
        <f>IFERROR(VLOOKUP(A126, WBS!A$4:B$200, 2, FALSE), "")</f>
        <v/>
      </c>
      <c r="G126" s="7">
        <f>IFERROR(VLOOKUP(C126, BD!A$2:C$50, 2, FALSE), 3500)</f>
        <v/>
      </c>
      <c r="H126" s="8">
        <f>IFERROR(VLOOKUP(C126, BD!A$2:C$50, 3, FALSE), 1.45)</f>
        <v/>
      </c>
      <c r="I126" s="7">
        <f>(G126*H126)/48</f>
        <v/>
      </c>
      <c r="J126" s="7">
        <f>D126*E126*F126*I126</f>
        <v/>
      </c>
    </row>
    <row r="127">
      <c r="B127" s="6">
        <f>IFERROR(VLOOKUP(A127, WBS!A$4:B$200, 2, FALSE), "")</f>
        <v/>
      </c>
      <c r="G127" s="7">
        <f>IFERROR(VLOOKUP(C127, BD!A$2:C$50, 2, FALSE), 3500)</f>
        <v/>
      </c>
      <c r="H127" s="8">
        <f>IFERROR(VLOOKUP(C127, BD!A$2:C$50, 3, FALSE), 1.45)</f>
        <v/>
      </c>
      <c r="I127" s="7">
        <f>(G127*H127)/48</f>
        <v/>
      </c>
      <c r="J127" s="7">
        <f>D127*E127*F127*I127</f>
        <v/>
      </c>
    </row>
    <row r="128">
      <c r="B128" s="6">
        <f>IFERROR(VLOOKUP(A128, WBS!A$4:B$200, 2, FALSE), "")</f>
        <v/>
      </c>
      <c r="G128" s="7">
        <f>IFERROR(VLOOKUP(C128, BD!A$2:C$50, 2, FALSE), 3500)</f>
        <v/>
      </c>
      <c r="H128" s="8">
        <f>IFERROR(VLOOKUP(C128, BD!A$2:C$50, 3, FALSE), 1.45)</f>
        <v/>
      </c>
      <c r="I128" s="7">
        <f>(G128*H128)/48</f>
        <v/>
      </c>
      <c r="J128" s="7">
        <f>D128*E128*F128*I128</f>
        <v/>
      </c>
    </row>
    <row r="129">
      <c r="B129" s="6">
        <f>IFERROR(VLOOKUP(A129, WBS!A$4:B$200, 2, FALSE), "")</f>
        <v/>
      </c>
      <c r="G129" s="7">
        <f>IFERROR(VLOOKUP(C129, BD!A$2:C$50, 2, FALSE), 3500)</f>
        <v/>
      </c>
      <c r="H129" s="8">
        <f>IFERROR(VLOOKUP(C129, BD!A$2:C$50, 3, FALSE), 1.45)</f>
        <v/>
      </c>
      <c r="I129" s="7">
        <f>(G129*H129)/48</f>
        <v/>
      </c>
      <c r="J129" s="7">
        <f>D129*E129*F129*I129</f>
        <v/>
      </c>
    </row>
    <row r="130">
      <c r="B130" s="6">
        <f>IFERROR(VLOOKUP(A130, WBS!A$4:B$200, 2, FALSE), "")</f>
        <v/>
      </c>
      <c r="G130" s="7">
        <f>IFERROR(VLOOKUP(C130, BD!A$2:C$50, 2, FALSE), 3500)</f>
        <v/>
      </c>
      <c r="H130" s="8">
        <f>IFERROR(VLOOKUP(C130, BD!A$2:C$50, 3, FALSE), 1.45)</f>
        <v/>
      </c>
      <c r="I130" s="7">
        <f>(G130*H130)/48</f>
        <v/>
      </c>
      <c r="J130" s="7">
        <f>D130*E130*F130*I130</f>
        <v/>
      </c>
    </row>
    <row r="131">
      <c r="B131" s="6">
        <f>IFERROR(VLOOKUP(A131, WBS!A$4:B$200, 2, FALSE), "")</f>
        <v/>
      </c>
      <c r="G131" s="7">
        <f>IFERROR(VLOOKUP(C131, BD!A$2:C$50, 2, FALSE), 3500)</f>
        <v/>
      </c>
      <c r="H131" s="8">
        <f>IFERROR(VLOOKUP(C131, BD!A$2:C$50, 3, FALSE), 1.45)</f>
        <v/>
      </c>
      <c r="I131" s="7">
        <f>(G131*H131)/48</f>
        <v/>
      </c>
      <c r="J131" s="7">
        <f>D131*E131*F131*I131</f>
        <v/>
      </c>
    </row>
    <row r="132">
      <c r="B132" s="6">
        <f>IFERROR(VLOOKUP(A132, WBS!A$4:B$200, 2, FALSE), "")</f>
        <v/>
      </c>
      <c r="G132" s="7">
        <f>IFERROR(VLOOKUP(C132, BD!A$2:C$50, 2, FALSE), 3500)</f>
        <v/>
      </c>
      <c r="H132" s="8">
        <f>IFERROR(VLOOKUP(C132, BD!A$2:C$50, 3, FALSE), 1.45)</f>
        <v/>
      </c>
      <c r="I132" s="7">
        <f>(G132*H132)/48</f>
        <v/>
      </c>
      <c r="J132" s="7">
        <f>D132*E132*F132*I132</f>
        <v/>
      </c>
    </row>
    <row r="133">
      <c r="B133" s="6">
        <f>IFERROR(VLOOKUP(A133, WBS!A$4:B$200, 2, FALSE), "")</f>
        <v/>
      </c>
      <c r="G133" s="7">
        <f>IFERROR(VLOOKUP(C133, BD!A$2:C$50, 2, FALSE), 3500)</f>
        <v/>
      </c>
      <c r="H133" s="8">
        <f>IFERROR(VLOOKUP(C133, BD!A$2:C$50, 3, FALSE), 1.45)</f>
        <v/>
      </c>
      <c r="I133" s="7">
        <f>(G133*H133)/48</f>
        <v/>
      </c>
      <c r="J133" s="7">
        <f>D133*E133*F133*I133</f>
        <v/>
      </c>
    </row>
    <row r="134">
      <c r="B134" s="6">
        <f>IFERROR(VLOOKUP(A134, WBS!A$4:B$200, 2, FALSE), "")</f>
        <v/>
      </c>
      <c r="G134" s="7">
        <f>IFERROR(VLOOKUP(C134, BD!A$2:C$50, 2, FALSE), 3500)</f>
        <v/>
      </c>
      <c r="H134" s="8">
        <f>IFERROR(VLOOKUP(C134, BD!A$2:C$50, 3, FALSE), 1.45)</f>
        <v/>
      </c>
      <c r="I134" s="7">
        <f>(G134*H134)/48</f>
        <v/>
      </c>
      <c r="J134" s="7">
        <f>D134*E134*F134*I134</f>
        <v/>
      </c>
    </row>
    <row r="135">
      <c r="B135" s="6">
        <f>IFERROR(VLOOKUP(A135, WBS!A$4:B$200, 2, FALSE), "")</f>
        <v/>
      </c>
      <c r="G135" s="7">
        <f>IFERROR(VLOOKUP(C135, BD!A$2:C$50, 2, FALSE), 3500)</f>
        <v/>
      </c>
      <c r="H135" s="8">
        <f>IFERROR(VLOOKUP(C135, BD!A$2:C$50, 3, FALSE), 1.45)</f>
        <v/>
      </c>
      <c r="I135" s="7">
        <f>(G135*H135)/48</f>
        <v/>
      </c>
      <c r="J135" s="7">
        <f>D135*E135*F135*I135</f>
        <v/>
      </c>
    </row>
    <row r="136">
      <c r="B136" s="6">
        <f>IFERROR(VLOOKUP(A136, WBS!A$4:B$200, 2, FALSE), "")</f>
        <v/>
      </c>
      <c r="G136" s="7">
        <f>IFERROR(VLOOKUP(C136, BD!A$2:C$50, 2, FALSE), 3500)</f>
        <v/>
      </c>
      <c r="H136" s="8">
        <f>IFERROR(VLOOKUP(C136, BD!A$2:C$50, 3, FALSE), 1.45)</f>
        <v/>
      </c>
      <c r="I136" s="7">
        <f>(G136*H136)/48</f>
        <v/>
      </c>
      <c r="J136" s="7">
        <f>D136*E136*F136*I136</f>
        <v/>
      </c>
    </row>
    <row r="137">
      <c r="B137" s="6">
        <f>IFERROR(VLOOKUP(A137, WBS!A$4:B$200, 2, FALSE), "")</f>
        <v/>
      </c>
      <c r="G137" s="7">
        <f>IFERROR(VLOOKUP(C137, BD!A$2:C$50, 2, FALSE), 3500)</f>
        <v/>
      </c>
      <c r="H137" s="8">
        <f>IFERROR(VLOOKUP(C137, BD!A$2:C$50, 3, FALSE), 1.45)</f>
        <v/>
      </c>
      <c r="I137" s="7">
        <f>(G137*H137)/48</f>
        <v/>
      </c>
      <c r="J137" s="7">
        <f>D137*E137*F137*I137</f>
        <v/>
      </c>
    </row>
    <row r="138">
      <c r="B138" s="6">
        <f>IFERROR(VLOOKUP(A138, WBS!A$4:B$200, 2, FALSE), "")</f>
        <v/>
      </c>
      <c r="G138" s="7">
        <f>IFERROR(VLOOKUP(C138, BD!A$2:C$50, 2, FALSE), 3500)</f>
        <v/>
      </c>
      <c r="H138" s="8">
        <f>IFERROR(VLOOKUP(C138, BD!A$2:C$50, 3, FALSE), 1.45)</f>
        <v/>
      </c>
      <c r="I138" s="7">
        <f>(G138*H138)/48</f>
        <v/>
      </c>
      <c r="J138" s="7">
        <f>D138*E138*F138*I138</f>
        <v/>
      </c>
    </row>
    <row r="139">
      <c r="B139" s="6">
        <f>IFERROR(VLOOKUP(A139, WBS!A$4:B$200, 2, FALSE), "")</f>
        <v/>
      </c>
      <c r="G139" s="7">
        <f>IFERROR(VLOOKUP(C139, BD!A$2:C$50, 2, FALSE), 3500)</f>
        <v/>
      </c>
      <c r="H139" s="8">
        <f>IFERROR(VLOOKUP(C139, BD!A$2:C$50, 3, FALSE), 1.45)</f>
        <v/>
      </c>
      <c r="I139" s="7">
        <f>(G139*H139)/48</f>
        <v/>
      </c>
      <c r="J139" s="7">
        <f>D139*E139*F139*I139</f>
        <v/>
      </c>
    </row>
    <row r="140">
      <c r="B140" s="6">
        <f>IFERROR(VLOOKUP(A140, WBS!A$4:B$200, 2, FALSE), "")</f>
        <v/>
      </c>
      <c r="G140" s="7">
        <f>IFERROR(VLOOKUP(C140, BD!A$2:C$50, 2, FALSE), 3500)</f>
        <v/>
      </c>
      <c r="H140" s="8">
        <f>IFERROR(VLOOKUP(C140, BD!A$2:C$50, 3, FALSE), 1.45)</f>
        <v/>
      </c>
      <c r="I140" s="7">
        <f>(G140*H140)/48</f>
        <v/>
      </c>
      <c r="J140" s="7">
        <f>D140*E140*F140*I140</f>
        <v/>
      </c>
    </row>
    <row r="141">
      <c r="B141" s="6">
        <f>IFERROR(VLOOKUP(A141, WBS!A$4:B$200, 2, FALSE), "")</f>
        <v/>
      </c>
      <c r="G141" s="7">
        <f>IFERROR(VLOOKUP(C141, BD!A$2:C$50, 2, FALSE), 3500)</f>
        <v/>
      </c>
      <c r="H141" s="8">
        <f>IFERROR(VLOOKUP(C141, BD!A$2:C$50, 3, FALSE), 1.45)</f>
        <v/>
      </c>
      <c r="I141" s="7">
        <f>(G141*H141)/48</f>
        <v/>
      </c>
      <c r="J141" s="7">
        <f>D141*E141*F141*I141</f>
        <v/>
      </c>
    </row>
    <row r="142">
      <c r="B142" s="6">
        <f>IFERROR(VLOOKUP(A142, WBS!A$4:B$200, 2, FALSE), "")</f>
        <v/>
      </c>
      <c r="G142" s="7">
        <f>IFERROR(VLOOKUP(C142, BD!A$2:C$50, 2, FALSE), 3500)</f>
        <v/>
      </c>
      <c r="H142" s="8">
        <f>IFERROR(VLOOKUP(C142, BD!A$2:C$50, 3, FALSE), 1.45)</f>
        <v/>
      </c>
      <c r="I142" s="7">
        <f>(G142*H142)/48</f>
        <v/>
      </c>
      <c r="J142" s="7">
        <f>D142*E142*F142*I142</f>
        <v/>
      </c>
    </row>
    <row r="143">
      <c r="B143" s="6">
        <f>IFERROR(VLOOKUP(A143, WBS!A$4:B$200, 2, FALSE), "")</f>
        <v/>
      </c>
      <c r="G143" s="7">
        <f>IFERROR(VLOOKUP(C143, BD!A$2:C$50, 2, FALSE), 3500)</f>
        <v/>
      </c>
      <c r="H143" s="8">
        <f>IFERROR(VLOOKUP(C143, BD!A$2:C$50, 3, FALSE), 1.45)</f>
        <v/>
      </c>
      <c r="I143" s="7">
        <f>(G143*H143)/48</f>
        <v/>
      </c>
      <c r="J143" s="7">
        <f>D143*E143*F143*I143</f>
        <v/>
      </c>
    </row>
    <row r="144">
      <c r="B144" s="6">
        <f>IFERROR(VLOOKUP(A144, WBS!A$4:B$200, 2, FALSE), "")</f>
        <v/>
      </c>
      <c r="G144" s="7">
        <f>IFERROR(VLOOKUP(C144, BD!A$2:C$50, 2, FALSE), 3500)</f>
        <v/>
      </c>
      <c r="H144" s="8">
        <f>IFERROR(VLOOKUP(C144, BD!A$2:C$50, 3, FALSE), 1.45)</f>
        <v/>
      </c>
      <c r="I144" s="7">
        <f>(G144*H144)/48</f>
        <v/>
      </c>
      <c r="J144" s="7">
        <f>D144*E144*F144*I144</f>
        <v/>
      </c>
    </row>
    <row r="145">
      <c r="B145" s="6">
        <f>IFERROR(VLOOKUP(A145, WBS!A$4:B$200, 2, FALSE), "")</f>
        <v/>
      </c>
      <c r="G145" s="7">
        <f>IFERROR(VLOOKUP(C145, BD!A$2:C$50, 2, FALSE), 3500)</f>
        <v/>
      </c>
      <c r="H145" s="8">
        <f>IFERROR(VLOOKUP(C145, BD!A$2:C$50, 3, FALSE), 1.45)</f>
        <v/>
      </c>
      <c r="I145" s="7">
        <f>(G145*H145)/48</f>
        <v/>
      </c>
      <c r="J145" s="7">
        <f>D145*E145*F145*I145</f>
        <v/>
      </c>
    </row>
    <row r="146">
      <c r="B146" s="6">
        <f>IFERROR(VLOOKUP(A146, WBS!A$4:B$200, 2, FALSE), "")</f>
        <v/>
      </c>
      <c r="G146" s="7">
        <f>IFERROR(VLOOKUP(C146, BD!A$2:C$50, 2, FALSE), 3500)</f>
        <v/>
      </c>
      <c r="H146" s="8">
        <f>IFERROR(VLOOKUP(C146, BD!A$2:C$50, 3, FALSE), 1.45)</f>
        <v/>
      </c>
      <c r="I146" s="7">
        <f>(G146*H146)/48</f>
        <v/>
      </c>
      <c r="J146" s="7">
        <f>D146*E146*F146*I146</f>
        <v/>
      </c>
    </row>
    <row r="147">
      <c r="B147" s="6">
        <f>IFERROR(VLOOKUP(A147, WBS!A$4:B$200, 2, FALSE), "")</f>
        <v/>
      </c>
      <c r="G147" s="7">
        <f>IFERROR(VLOOKUP(C147, BD!A$2:C$50, 2, FALSE), 3500)</f>
        <v/>
      </c>
      <c r="H147" s="8">
        <f>IFERROR(VLOOKUP(C147, BD!A$2:C$50, 3, FALSE), 1.45)</f>
        <v/>
      </c>
      <c r="I147" s="7">
        <f>(G147*H147)/48</f>
        <v/>
      </c>
      <c r="J147" s="7">
        <f>D147*E147*F147*I147</f>
        <v/>
      </c>
    </row>
    <row r="148">
      <c r="B148" s="6">
        <f>IFERROR(VLOOKUP(A148, WBS!A$4:B$200, 2, FALSE), "")</f>
        <v/>
      </c>
      <c r="G148" s="7">
        <f>IFERROR(VLOOKUP(C148, BD!A$2:C$50, 2, FALSE), 3500)</f>
        <v/>
      </c>
      <c r="H148" s="8">
        <f>IFERROR(VLOOKUP(C148, BD!A$2:C$50, 3, FALSE), 1.45)</f>
        <v/>
      </c>
      <c r="I148" s="7">
        <f>(G148*H148)/48</f>
        <v/>
      </c>
      <c r="J148" s="7">
        <f>D148*E148*F148*I148</f>
        <v/>
      </c>
    </row>
    <row r="149">
      <c r="B149" s="6">
        <f>IFERROR(VLOOKUP(A149, WBS!A$4:B$200, 2, FALSE), "")</f>
        <v/>
      </c>
      <c r="G149" s="7">
        <f>IFERROR(VLOOKUP(C149, BD!A$2:C$50, 2, FALSE), 3500)</f>
        <v/>
      </c>
      <c r="H149" s="8">
        <f>IFERROR(VLOOKUP(C149, BD!A$2:C$50, 3, FALSE), 1.45)</f>
        <v/>
      </c>
      <c r="I149" s="7">
        <f>(G149*H149)/48</f>
        <v/>
      </c>
      <c r="J149" s="7">
        <f>D149*E149*F149*I149</f>
        <v/>
      </c>
    </row>
    <row r="150">
      <c r="B150" s="6">
        <f>IFERROR(VLOOKUP(A150, WBS!A$4:B$200, 2, FALSE), "")</f>
        <v/>
      </c>
      <c r="G150" s="7">
        <f>IFERROR(VLOOKUP(C150, BD!A$2:C$50, 2, FALSE), 3500)</f>
        <v/>
      </c>
      <c r="H150" s="8">
        <f>IFERROR(VLOOKUP(C150, BD!A$2:C$50, 3, FALSE), 1.45)</f>
        <v/>
      </c>
      <c r="I150" s="7">
        <f>(G150*H150)/48</f>
        <v/>
      </c>
      <c r="J150" s="7">
        <f>D150*E150*F150*I150</f>
        <v/>
      </c>
    </row>
    <row r="151">
      <c r="B151" s="6">
        <f>IFERROR(VLOOKUP(A151, WBS!A$4:B$200, 2, FALSE), "")</f>
        <v/>
      </c>
      <c r="G151" s="7">
        <f>IFERROR(VLOOKUP(C151, BD!A$2:C$50, 2, FALSE), 3500)</f>
        <v/>
      </c>
      <c r="H151" s="8">
        <f>IFERROR(VLOOKUP(C151, BD!A$2:C$50, 3, FALSE), 1.45)</f>
        <v/>
      </c>
      <c r="I151" s="7">
        <f>(G151*H151)/48</f>
        <v/>
      </c>
      <c r="J151" s="7">
        <f>D151*E151*F151*I151</f>
        <v/>
      </c>
    </row>
    <row r="152">
      <c r="B152" s="6">
        <f>IFERROR(VLOOKUP(A152, WBS!A$4:B$200, 2, FALSE), "")</f>
        <v/>
      </c>
      <c r="G152" s="7">
        <f>IFERROR(VLOOKUP(C152, BD!A$2:C$50, 2, FALSE), 3500)</f>
        <v/>
      </c>
      <c r="H152" s="8">
        <f>IFERROR(VLOOKUP(C152, BD!A$2:C$50, 3, FALSE), 1.45)</f>
        <v/>
      </c>
      <c r="I152" s="7">
        <f>(G152*H152)/48</f>
        <v/>
      </c>
      <c r="J152" s="7">
        <f>D152*E152*F152*I152</f>
        <v/>
      </c>
    </row>
    <row r="153">
      <c r="B153" s="6">
        <f>IFERROR(VLOOKUP(A153, WBS!A$4:B$200, 2, FALSE), "")</f>
        <v/>
      </c>
      <c r="G153" s="7">
        <f>IFERROR(VLOOKUP(C153, BD!A$2:C$50, 2, FALSE), 3500)</f>
        <v/>
      </c>
      <c r="H153" s="8">
        <f>IFERROR(VLOOKUP(C153, BD!A$2:C$50, 3, FALSE), 1.45)</f>
        <v/>
      </c>
      <c r="I153" s="7">
        <f>(G153*H153)/48</f>
        <v/>
      </c>
      <c r="J153" s="7">
        <f>D153*E153*F153*I153</f>
        <v/>
      </c>
    </row>
    <row r="154">
      <c r="B154" s="6">
        <f>IFERROR(VLOOKUP(A154, WBS!A$4:B$200, 2, FALSE), "")</f>
        <v/>
      </c>
      <c r="G154" s="7">
        <f>IFERROR(VLOOKUP(C154, BD!A$2:C$50, 2, FALSE), 3500)</f>
        <v/>
      </c>
      <c r="H154" s="8">
        <f>IFERROR(VLOOKUP(C154, BD!A$2:C$50, 3, FALSE), 1.45)</f>
        <v/>
      </c>
      <c r="I154" s="7">
        <f>(G154*H154)/48</f>
        <v/>
      </c>
      <c r="J154" s="7">
        <f>D154*E154*F154*I154</f>
        <v/>
      </c>
    </row>
    <row r="155">
      <c r="B155" s="6">
        <f>IFERROR(VLOOKUP(A155, WBS!A$4:B$200, 2, FALSE), "")</f>
        <v/>
      </c>
      <c r="G155" s="7">
        <f>IFERROR(VLOOKUP(C155, BD!A$2:C$50, 2, FALSE), 3500)</f>
        <v/>
      </c>
      <c r="H155" s="8">
        <f>IFERROR(VLOOKUP(C155, BD!A$2:C$50, 3, FALSE), 1.45)</f>
        <v/>
      </c>
      <c r="I155" s="7">
        <f>(G155*H155)/48</f>
        <v/>
      </c>
      <c r="J155" s="7">
        <f>D155*E155*F155*I155</f>
        <v/>
      </c>
    </row>
    <row r="156">
      <c r="B156" s="6">
        <f>IFERROR(VLOOKUP(A156, WBS!A$4:B$200, 2, FALSE), "")</f>
        <v/>
      </c>
      <c r="G156" s="7">
        <f>IFERROR(VLOOKUP(C156, BD!A$2:C$50, 2, FALSE), 3500)</f>
        <v/>
      </c>
      <c r="H156" s="8">
        <f>IFERROR(VLOOKUP(C156, BD!A$2:C$50, 3, FALSE), 1.45)</f>
        <v/>
      </c>
      <c r="I156" s="7">
        <f>(G156*H156)/48</f>
        <v/>
      </c>
      <c r="J156" s="7">
        <f>D156*E156*F156*I156</f>
        <v/>
      </c>
    </row>
    <row r="157">
      <c r="B157" s="6">
        <f>IFERROR(VLOOKUP(A157, WBS!A$4:B$200, 2, FALSE), "")</f>
        <v/>
      </c>
      <c r="G157" s="7">
        <f>IFERROR(VLOOKUP(C157, BD!A$2:C$50, 2, FALSE), 3500)</f>
        <v/>
      </c>
      <c r="H157" s="8">
        <f>IFERROR(VLOOKUP(C157, BD!A$2:C$50, 3, FALSE), 1.45)</f>
        <v/>
      </c>
      <c r="I157" s="7">
        <f>(G157*H157)/48</f>
        <v/>
      </c>
      <c r="J157" s="7">
        <f>D157*E157*F157*I157</f>
        <v/>
      </c>
    </row>
    <row r="158">
      <c r="B158" s="6">
        <f>IFERROR(VLOOKUP(A158, WBS!A$4:B$200, 2, FALSE), "")</f>
        <v/>
      </c>
      <c r="G158" s="7">
        <f>IFERROR(VLOOKUP(C158, BD!A$2:C$50, 2, FALSE), 3500)</f>
        <v/>
      </c>
      <c r="H158" s="8">
        <f>IFERROR(VLOOKUP(C158, BD!A$2:C$50, 3, FALSE), 1.45)</f>
        <v/>
      </c>
      <c r="I158" s="7">
        <f>(G158*H158)/48</f>
        <v/>
      </c>
      <c r="J158" s="7">
        <f>D158*E158*F158*I158</f>
        <v/>
      </c>
    </row>
    <row r="159">
      <c r="B159" s="6">
        <f>IFERROR(VLOOKUP(A159, WBS!A$4:B$200, 2, FALSE), "")</f>
        <v/>
      </c>
      <c r="G159" s="7">
        <f>IFERROR(VLOOKUP(C159, BD!A$2:C$50, 2, FALSE), 3500)</f>
        <v/>
      </c>
      <c r="H159" s="8">
        <f>IFERROR(VLOOKUP(C159, BD!A$2:C$50, 3, FALSE), 1.45)</f>
        <v/>
      </c>
      <c r="I159" s="7">
        <f>(G159*H159)/48</f>
        <v/>
      </c>
      <c r="J159" s="7">
        <f>D159*E159*F159*I159</f>
        <v/>
      </c>
    </row>
    <row r="160">
      <c r="B160" s="6">
        <f>IFERROR(VLOOKUP(A160, WBS!A$4:B$200, 2, FALSE), "")</f>
        <v/>
      </c>
      <c r="G160" s="7">
        <f>IFERROR(VLOOKUP(C160, BD!A$2:C$50, 2, FALSE), 3500)</f>
        <v/>
      </c>
      <c r="H160" s="8">
        <f>IFERROR(VLOOKUP(C160, BD!A$2:C$50, 3, FALSE), 1.45)</f>
        <v/>
      </c>
      <c r="I160" s="7">
        <f>(G160*H160)/48</f>
        <v/>
      </c>
      <c r="J160" s="7">
        <f>D160*E160*F160*I160</f>
        <v/>
      </c>
    </row>
    <row r="161">
      <c r="B161" s="6">
        <f>IFERROR(VLOOKUP(A161, WBS!A$4:B$200, 2, FALSE), "")</f>
        <v/>
      </c>
      <c r="G161" s="7">
        <f>IFERROR(VLOOKUP(C161, BD!A$2:C$50, 2, FALSE), 3500)</f>
        <v/>
      </c>
      <c r="H161" s="8">
        <f>IFERROR(VLOOKUP(C161, BD!A$2:C$50, 3, FALSE), 1.45)</f>
        <v/>
      </c>
      <c r="I161" s="7">
        <f>(G161*H161)/48</f>
        <v/>
      </c>
      <c r="J161" s="7">
        <f>D161*E161*F161*I161</f>
        <v/>
      </c>
    </row>
    <row r="162">
      <c r="B162" s="6">
        <f>IFERROR(VLOOKUP(A162, WBS!A$4:B$200, 2, FALSE), "")</f>
        <v/>
      </c>
      <c r="G162" s="7">
        <f>IFERROR(VLOOKUP(C162, BD!A$2:C$50, 2, FALSE), 3500)</f>
        <v/>
      </c>
      <c r="H162" s="8">
        <f>IFERROR(VLOOKUP(C162, BD!A$2:C$50, 3, FALSE), 1.45)</f>
        <v/>
      </c>
      <c r="I162" s="7">
        <f>(G162*H162)/48</f>
        <v/>
      </c>
      <c r="J162" s="7">
        <f>D162*E162*F162*I162</f>
        <v/>
      </c>
    </row>
    <row r="163">
      <c r="B163" s="6">
        <f>IFERROR(VLOOKUP(A163, WBS!A$4:B$200, 2, FALSE), "")</f>
        <v/>
      </c>
      <c r="G163" s="7">
        <f>IFERROR(VLOOKUP(C163, BD!A$2:C$50, 2, FALSE), 3500)</f>
        <v/>
      </c>
      <c r="H163" s="8">
        <f>IFERROR(VLOOKUP(C163, BD!A$2:C$50, 3, FALSE), 1.45)</f>
        <v/>
      </c>
      <c r="I163" s="7">
        <f>(G163*H163)/48</f>
        <v/>
      </c>
      <c r="J163" s="7">
        <f>D163*E163*F163*I163</f>
        <v/>
      </c>
    </row>
    <row r="164">
      <c r="B164" s="6">
        <f>IFERROR(VLOOKUP(A164, WBS!A$4:B$200, 2, FALSE), "")</f>
        <v/>
      </c>
      <c r="G164" s="7">
        <f>IFERROR(VLOOKUP(C164, BD!A$2:C$50, 2, FALSE), 3500)</f>
        <v/>
      </c>
      <c r="H164" s="8">
        <f>IFERROR(VLOOKUP(C164, BD!A$2:C$50, 3, FALSE), 1.45)</f>
        <v/>
      </c>
      <c r="I164" s="7">
        <f>(G164*H164)/48</f>
        <v/>
      </c>
      <c r="J164" s="7">
        <f>D164*E164*F164*I164</f>
        <v/>
      </c>
    </row>
    <row r="165">
      <c r="B165" s="6">
        <f>IFERROR(VLOOKUP(A165, WBS!A$4:B$200, 2, FALSE), "")</f>
        <v/>
      </c>
      <c r="G165" s="7">
        <f>IFERROR(VLOOKUP(C165, BD!A$2:C$50, 2, FALSE), 3500)</f>
        <v/>
      </c>
      <c r="H165" s="8">
        <f>IFERROR(VLOOKUP(C165, BD!A$2:C$50, 3, FALSE), 1.45)</f>
        <v/>
      </c>
      <c r="I165" s="7">
        <f>(G165*H165)/48</f>
        <v/>
      </c>
      <c r="J165" s="7">
        <f>D165*E165*F165*I165</f>
        <v/>
      </c>
    </row>
    <row r="166">
      <c r="B166" s="6">
        <f>IFERROR(VLOOKUP(A166, WBS!A$4:B$200, 2, FALSE), "")</f>
        <v/>
      </c>
      <c r="G166" s="7">
        <f>IFERROR(VLOOKUP(C166, BD!A$2:C$50, 2, FALSE), 3500)</f>
        <v/>
      </c>
      <c r="H166" s="8">
        <f>IFERROR(VLOOKUP(C166, BD!A$2:C$50, 3, FALSE), 1.45)</f>
        <v/>
      </c>
      <c r="I166" s="7">
        <f>(G166*H166)/48</f>
        <v/>
      </c>
      <c r="J166" s="7">
        <f>D166*E166*F166*I166</f>
        <v/>
      </c>
    </row>
    <row r="167">
      <c r="B167" s="6">
        <f>IFERROR(VLOOKUP(A167, WBS!A$4:B$200, 2, FALSE), "")</f>
        <v/>
      </c>
      <c r="G167" s="7">
        <f>IFERROR(VLOOKUP(C167, BD!A$2:C$50, 2, FALSE), 3500)</f>
        <v/>
      </c>
      <c r="H167" s="8">
        <f>IFERROR(VLOOKUP(C167, BD!A$2:C$50, 3, FALSE), 1.45)</f>
        <v/>
      </c>
      <c r="I167" s="7">
        <f>(G167*H167)/48</f>
        <v/>
      </c>
      <c r="J167" s="7">
        <f>D167*E167*F167*I167</f>
        <v/>
      </c>
    </row>
    <row r="168">
      <c r="B168" s="6">
        <f>IFERROR(VLOOKUP(A168, WBS!A$4:B$200, 2, FALSE), "")</f>
        <v/>
      </c>
      <c r="G168" s="7">
        <f>IFERROR(VLOOKUP(C168, BD!A$2:C$50, 2, FALSE), 3500)</f>
        <v/>
      </c>
      <c r="H168" s="8">
        <f>IFERROR(VLOOKUP(C168, BD!A$2:C$50, 3, FALSE), 1.45)</f>
        <v/>
      </c>
      <c r="I168" s="7">
        <f>(G168*H168)/48</f>
        <v/>
      </c>
      <c r="J168" s="7">
        <f>D168*E168*F168*I168</f>
        <v/>
      </c>
    </row>
    <row r="169">
      <c r="B169" s="6">
        <f>IFERROR(VLOOKUP(A169, WBS!A$4:B$200, 2, FALSE), "")</f>
        <v/>
      </c>
      <c r="G169" s="7">
        <f>IFERROR(VLOOKUP(C169, BD!A$2:C$50, 2, FALSE), 3500)</f>
        <v/>
      </c>
      <c r="H169" s="8">
        <f>IFERROR(VLOOKUP(C169, BD!A$2:C$50, 3, FALSE), 1.45)</f>
        <v/>
      </c>
      <c r="I169" s="7">
        <f>(G169*H169)/48</f>
        <v/>
      </c>
      <c r="J169" s="7">
        <f>D169*E169*F169*I169</f>
        <v/>
      </c>
    </row>
    <row r="170">
      <c r="B170" s="6">
        <f>IFERROR(VLOOKUP(A170, WBS!A$4:B$200, 2, FALSE), "")</f>
        <v/>
      </c>
      <c r="G170" s="7">
        <f>IFERROR(VLOOKUP(C170, BD!A$2:C$50, 2, FALSE), 3500)</f>
        <v/>
      </c>
      <c r="H170" s="8">
        <f>IFERROR(VLOOKUP(C170, BD!A$2:C$50, 3, FALSE), 1.45)</f>
        <v/>
      </c>
      <c r="I170" s="7">
        <f>(G170*H170)/48</f>
        <v/>
      </c>
      <c r="J170" s="7">
        <f>D170*E170*F170*I170</f>
        <v/>
      </c>
    </row>
    <row r="171">
      <c r="B171" s="6">
        <f>IFERROR(VLOOKUP(A171, WBS!A$4:B$200, 2, FALSE), "")</f>
        <v/>
      </c>
      <c r="G171" s="7">
        <f>IFERROR(VLOOKUP(C171, BD!A$2:C$50, 2, FALSE), 3500)</f>
        <v/>
      </c>
      <c r="H171" s="8">
        <f>IFERROR(VLOOKUP(C171, BD!A$2:C$50, 3, FALSE), 1.45)</f>
        <v/>
      </c>
      <c r="I171" s="7">
        <f>(G171*H171)/48</f>
        <v/>
      </c>
      <c r="J171" s="7">
        <f>D171*E171*F171*I171</f>
        <v/>
      </c>
    </row>
    <row r="172">
      <c r="B172" s="6">
        <f>IFERROR(VLOOKUP(A172, WBS!A$4:B$200, 2, FALSE), "")</f>
        <v/>
      </c>
      <c r="G172" s="7">
        <f>IFERROR(VLOOKUP(C172, BD!A$2:C$50, 2, FALSE), 3500)</f>
        <v/>
      </c>
      <c r="H172" s="8">
        <f>IFERROR(VLOOKUP(C172, BD!A$2:C$50, 3, FALSE), 1.45)</f>
        <v/>
      </c>
      <c r="I172" s="7">
        <f>(G172*H172)/48</f>
        <v/>
      </c>
      <c r="J172" s="7">
        <f>D172*E172*F172*I172</f>
        <v/>
      </c>
    </row>
    <row r="173">
      <c r="B173" s="6">
        <f>IFERROR(VLOOKUP(A173, WBS!A$4:B$200, 2, FALSE), "")</f>
        <v/>
      </c>
      <c r="G173" s="7">
        <f>IFERROR(VLOOKUP(C173, BD!A$2:C$50, 2, FALSE), 3500)</f>
        <v/>
      </c>
      <c r="H173" s="8">
        <f>IFERROR(VLOOKUP(C173, BD!A$2:C$50, 3, FALSE), 1.45)</f>
        <v/>
      </c>
      <c r="I173" s="7">
        <f>(G173*H173)/48</f>
        <v/>
      </c>
      <c r="J173" s="7">
        <f>D173*E173*F173*I173</f>
        <v/>
      </c>
    </row>
    <row r="174">
      <c r="B174" s="6">
        <f>IFERROR(VLOOKUP(A174, WBS!A$4:B$200, 2, FALSE), "")</f>
        <v/>
      </c>
      <c r="G174" s="7">
        <f>IFERROR(VLOOKUP(C174, BD!A$2:C$50, 2, FALSE), 3500)</f>
        <v/>
      </c>
      <c r="H174" s="8">
        <f>IFERROR(VLOOKUP(C174, BD!A$2:C$50, 3, FALSE), 1.45)</f>
        <v/>
      </c>
      <c r="I174" s="7">
        <f>(G174*H174)/48</f>
        <v/>
      </c>
      <c r="J174" s="7">
        <f>D174*E174*F174*I174</f>
        <v/>
      </c>
    </row>
    <row r="175">
      <c r="B175" s="6">
        <f>IFERROR(VLOOKUP(A175, WBS!A$4:B$200, 2, FALSE), "")</f>
        <v/>
      </c>
      <c r="G175" s="7">
        <f>IFERROR(VLOOKUP(C175, BD!A$2:C$50, 2, FALSE), 3500)</f>
        <v/>
      </c>
      <c r="H175" s="8">
        <f>IFERROR(VLOOKUP(C175, BD!A$2:C$50, 3, FALSE), 1.45)</f>
        <v/>
      </c>
      <c r="I175" s="7">
        <f>(G175*H175)/48</f>
        <v/>
      </c>
      <c r="J175" s="7">
        <f>D175*E175*F175*I175</f>
        <v/>
      </c>
    </row>
    <row r="176">
      <c r="B176" s="6">
        <f>IFERROR(VLOOKUP(A176, WBS!A$4:B$200, 2, FALSE), "")</f>
        <v/>
      </c>
      <c r="G176" s="7">
        <f>IFERROR(VLOOKUP(C176, BD!A$2:C$50, 2, FALSE), 3500)</f>
        <v/>
      </c>
      <c r="H176" s="8">
        <f>IFERROR(VLOOKUP(C176, BD!A$2:C$50, 3, FALSE), 1.45)</f>
        <v/>
      </c>
      <c r="I176" s="7">
        <f>(G176*H176)/48</f>
        <v/>
      </c>
      <c r="J176" s="7">
        <f>D176*E176*F176*I176</f>
        <v/>
      </c>
    </row>
    <row r="177">
      <c r="B177" s="6">
        <f>IFERROR(VLOOKUP(A177, WBS!A$4:B$200, 2, FALSE), "")</f>
        <v/>
      </c>
      <c r="G177" s="7">
        <f>IFERROR(VLOOKUP(C177, BD!A$2:C$50, 2, FALSE), 3500)</f>
        <v/>
      </c>
      <c r="H177" s="8">
        <f>IFERROR(VLOOKUP(C177, BD!A$2:C$50, 3, FALSE), 1.45)</f>
        <v/>
      </c>
      <c r="I177" s="7">
        <f>(G177*H177)/48</f>
        <v/>
      </c>
      <c r="J177" s="7">
        <f>D177*E177*F177*I177</f>
        <v/>
      </c>
    </row>
    <row r="178">
      <c r="B178" s="6">
        <f>IFERROR(VLOOKUP(A178, WBS!A$4:B$200, 2, FALSE), "")</f>
        <v/>
      </c>
      <c r="G178" s="7">
        <f>IFERROR(VLOOKUP(C178, BD!A$2:C$50, 2, FALSE), 3500)</f>
        <v/>
      </c>
      <c r="H178" s="8">
        <f>IFERROR(VLOOKUP(C178, BD!A$2:C$50, 3, FALSE), 1.45)</f>
        <v/>
      </c>
      <c r="I178" s="7">
        <f>(G178*H178)/48</f>
        <v/>
      </c>
      <c r="J178" s="7">
        <f>D178*E178*F178*I178</f>
        <v/>
      </c>
    </row>
    <row r="179">
      <c r="B179" s="6">
        <f>IFERROR(VLOOKUP(A179, WBS!A$4:B$200, 2, FALSE), "")</f>
        <v/>
      </c>
      <c r="G179" s="7">
        <f>IFERROR(VLOOKUP(C179, BD!A$2:C$50, 2, FALSE), 3500)</f>
        <v/>
      </c>
      <c r="H179" s="8">
        <f>IFERROR(VLOOKUP(C179, BD!A$2:C$50, 3, FALSE), 1.45)</f>
        <v/>
      </c>
      <c r="I179" s="7">
        <f>(G179*H179)/48</f>
        <v/>
      </c>
      <c r="J179" s="7">
        <f>D179*E179*F179*I179</f>
        <v/>
      </c>
    </row>
    <row r="180">
      <c r="B180" s="6">
        <f>IFERROR(VLOOKUP(A180, WBS!A$4:B$200, 2, FALSE), "")</f>
        <v/>
      </c>
      <c r="G180" s="7">
        <f>IFERROR(VLOOKUP(C180, BD!A$2:C$50, 2, FALSE), 3500)</f>
        <v/>
      </c>
      <c r="H180" s="8">
        <f>IFERROR(VLOOKUP(C180, BD!A$2:C$50, 3, FALSE), 1.45)</f>
        <v/>
      </c>
      <c r="I180" s="7">
        <f>(G180*H180)/48</f>
        <v/>
      </c>
      <c r="J180" s="7">
        <f>D180*E180*F180*I180</f>
        <v/>
      </c>
    </row>
    <row r="181">
      <c r="B181" s="6">
        <f>IFERROR(VLOOKUP(A181, WBS!A$4:B$200, 2, FALSE), "")</f>
        <v/>
      </c>
      <c r="G181" s="7">
        <f>IFERROR(VLOOKUP(C181, BD!A$2:C$50, 2, FALSE), 3500)</f>
        <v/>
      </c>
      <c r="H181" s="8">
        <f>IFERROR(VLOOKUP(C181, BD!A$2:C$50, 3, FALSE), 1.45)</f>
        <v/>
      </c>
      <c r="I181" s="7">
        <f>(G181*H181)/48</f>
        <v/>
      </c>
      <c r="J181" s="7">
        <f>D181*E181*F181*I181</f>
        <v/>
      </c>
    </row>
    <row r="182">
      <c r="B182" s="6">
        <f>IFERROR(VLOOKUP(A182, WBS!A$4:B$200, 2, FALSE), "")</f>
        <v/>
      </c>
      <c r="G182" s="7">
        <f>IFERROR(VLOOKUP(C182, BD!A$2:C$50, 2, FALSE), 3500)</f>
        <v/>
      </c>
      <c r="H182" s="8">
        <f>IFERROR(VLOOKUP(C182, BD!A$2:C$50, 3, FALSE), 1.45)</f>
        <v/>
      </c>
      <c r="I182" s="7">
        <f>(G182*H182)/48</f>
        <v/>
      </c>
      <c r="J182" s="7">
        <f>D182*E182*F182*I182</f>
        <v/>
      </c>
    </row>
    <row r="183">
      <c r="B183" s="6">
        <f>IFERROR(VLOOKUP(A183, WBS!A$4:B$200, 2, FALSE), "")</f>
        <v/>
      </c>
      <c r="G183" s="7">
        <f>IFERROR(VLOOKUP(C183, BD!A$2:C$50, 2, FALSE), 3500)</f>
        <v/>
      </c>
      <c r="H183" s="8">
        <f>IFERROR(VLOOKUP(C183, BD!A$2:C$50, 3, FALSE), 1.45)</f>
        <v/>
      </c>
      <c r="I183" s="7">
        <f>(G183*H183)/48</f>
        <v/>
      </c>
      <c r="J183" s="7">
        <f>D183*E183*F183*I183</f>
        <v/>
      </c>
    </row>
    <row r="184">
      <c r="B184" s="6">
        <f>IFERROR(VLOOKUP(A184, WBS!A$4:B$200, 2, FALSE), "")</f>
        <v/>
      </c>
      <c r="G184" s="7">
        <f>IFERROR(VLOOKUP(C184, BD!A$2:C$50, 2, FALSE), 3500)</f>
        <v/>
      </c>
      <c r="H184" s="8">
        <f>IFERROR(VLOOKUP(C184, BD!A$2:C$50, 3, FALSE), 1.45)</f>
        <v/>
      </c>
      <c r="I184" s="7">
        <f>(G184*H184)/48</f>
        <v/>
      </c>
      <c r="J184" s="7">
        <f>D184*E184*F184*I184</f>
        <v/>
      </c>
    </row>
    <row r="185">
      <c r="B185" s="6">
        <f>IFERROR(VLOOKUP(A185, WBS!A$4:B$200, 2, FALSE), "")</f>
        <v/>
      </c>
      <c r="G185" s="7">
        <f>IFERROR(VLOOKUP(C185, BD!A$2:C$50, 2, FALSE), 3500)</f>
        <v/>
      </c>
      <c r="H185" s="8">
        <f>IFERROR(VLOOKUP(C185, BD!A$2:C$50, 3, FALSE), 1.45)</f>
        <v/>
      </c>
      <c r="I185" s="7">
        <f>(G185*H185)/48</f>
        <v/>
      </c>
      <c r="J185" s="7">
        <f>D185*E185*F185*I185</f>
        <v/>
      </c>
    </row>
    <row r="186">
      <c r="B186" s="6">
        <f>IFERROR(VLOOKUP(A186, WBS!A$4:B$200, 2, FALSE), "")</f>
        <v/>
      </c>
      <c r="G186" s="7">
        <f>IFERROR(VLOOKUP(C186, BD!A$2:C$50, 2, FALSE), 3500)</f>
        <v/>
      </c>
      <c r="H186" s="8">
        <f>IFERROR(VLOOKUP(C186, BD!A$2:C$50, 3, FALSE), 1.45)</f>
        <v/>
      </c>
      <c r="I186" s="7">
        <f>(G186*H186)/48</f>
        <v/>
      </c>
      <c r="J186" s="7">
        <f>D186*E186*F186*I186</f>
        <v/>
      </c>
    </row>
    <row r="187">
      <c r="B187" s="6">
        <f>IFERROR(VLOOKUP(A187, WBS!A$4:B$200, 2, FALSE), "")</f>
        <v/>
      </c>
      <c r="G187" s="7">
        <f>IFERROR(VLOOKUP(C187, BD!A$2:C$50, 2, FALSE), 3500)</f>
        <v/>
      </c>
      <c r="H187" s="8">
        <f>IFERROR(VLOOKUP(C187, BD!A$2:C$50, 3, FALSE), 1.45)</f>
        <v/>
      </c>
      <c r="I187" s="7">
        <f>(G187*H187)/48</f>
        <v/>
      </c>
      <c r="J187" s="7">
        <f>D187*E187*F187*I187</f>
        <v/>
      </c>
    </row>
    <row r="188">
      <c r="B188" s="6">
        <f>IFERROR(VLOOKUP(A188, WBS!A$4:B$200, 2, FALSE), "")</f>
        <v/>
      </c>
      <c r="G188" s="7">
        <f>IFERROR(VLOOKUP(C188, BD!A$2:C$50, 2, FALSE), 3500)</f>
        <v/>
      </c>
      <c r="H188" s="8">
        <f>IFERROR(VLOOKUP(C188, BD!A$2:C$50, 3, FALSE), 1.45)</f>
        <v/>
      </c>
      <c r="I188" s="7">
        <f>(G188*H188)/48</f>
        <v/>
      </c>
      <c r="J188" s="7">
        <f>D188*E188*F188*I188</f>
        <v/>
      </c>
    </row>
    <row r="189">
      <c r="B189" s="6">
        <f>IFERROR(VLOOKUP(A189, WBS!A$4:B$200, 2, FALSE), "")</f>
        <v/>
      </c>
      <c r="G189" s="7">
        <f>IFERROR(VLOOKUP(C189, BD!A$2:C$50, 2, FALSE), 3500)</f>
        <v/>
      </c>
      <c r="H189" s="8">
        <f>IFERROR(VLOOKUP(C189, BD!A$2:C$50, 3, FALSE), 1.45)</f>
        <v/>
      </c>
      <c r="I189" s="7">
        <f>(G189*H189)/48</f>
        <v/>
      </c>
      <c r="J189" s="7">
        <f>D189*E189*F189*I189</f>
        <v/>
      </c>
    </row>
    <row r="190">
      <c r="B190" s="6">
        <f>IFERROR(VLOOKUP(A190, WBS!A$4:B$200, 2, FALSE), "")</f>
        <v/>
      </c>
      <c r="G190" s="7">
        <f>IFERROR(VLOOKUP(C190, BD!A$2:C$50, 2, FALSE), 3500)</f>
        <v/>
      </c>
      <c r="H190" s="8">
        <f>IFERROR(VLOOKUP(C190, BD!A$2:C$50, 3, FALSE), 1.45)</f>
        <v/>
      </c>
      <c r="I190" s="7">
        <f>(G190*H190)/48</f>
        <v/>
      </c>
      <c r="J190" s="7">
        <f>D190*E190*F190*I190</f>
        <v/>
      </c>
    </row>
    <row r="191">
      <c r="B191" s="6">
        <f>IFERROR(VLOOKUP(A191, WBS!A$4:B$200, 2, FALSE), "")</f>
        <v/>
      </c>
      <c r="G191" s="7">
        <f>IFERROR(VLOOKUP(C191, BD!A$2:C$50, 2, FALSE), 3500)</f>
        <v/>
      </c>
      <c r="H191" s="8">
        <f>IFERROR(VLOOKUP(C191, BD!A$2:C$50, 3, FALSE), 1.45)</f>
        <v/>
      </c>
      <c r="I191" s="7">
        <f>(G191*H191)/48</f>
        <v/>
      </c>
      <c r="J191" s="7">
        <f>D191*E191*F191*I191</f>
        <v/>
      </c>
    </row>
    <row r="192">
      <c r="B192" s="6">
        <f>IFERROR(VLOOKUP(A192, WBS!A$4:B$200, 2, FALSE), "")</f>
        <v/>
      </c>
      <c r="G192" s="7">
        <f>IFERROR(VLOOKUP(C192, BD!A$2:C$50, 2, FALSE), 3500)</f>
        <v/>
      </c>
      <c r="H192" s="8">
        <f>IFERROR(VLOOKUP(C192, BD!A$2:C$50, 3, FALSE), 1.45)</f>
        <v/>
      </c>
      <c r="I192" s="7">
        <f>(G192*H192)/48</f>
        <v/>
      </c>
      <c r="J192" s="7">
        <f>D192*E192*F192*I192</f>
        <v/>
      </c>
    </row>
    <row r="193">
      <c r="B193" s="6">
        <f>IFERROR(VLOOKUP(A193, WBS!A$4:B$200, 2, FALSE), "")</f>
        <v/>
      </c>
      <c r="G193" s="7">
        <f>IFERROR(VLOOKUP(C193, BD!A$2:C$50, 2, FALSE), 3500)</f>
        <v/>
      </c>
      <c r="H193" s="8">
        <f>IFERROR(VLOOKUP(C193, BD!A$2:C$50, 3, FALSE), 1.45)</f>
        <v/>
      </c>
      <c r="I193" s="7">
        <f>(G193*H193)/48</f>
        <v/>
      </c>
      <c r="J193" s="7">
        <f>D193*E193*F193*I193</f>
        <v/>
      </c>
    </row>
    <row r="194">
      <c r="B194" s="6">
        <f>IFERROR(VLOOKUP(A194, WBS!A$4:B$200, 2, FALSE), "")</f>
        <v/>
      </c>
      <c r="G194" s="7">
        <f>IFERROR(VLOOKUP(C194, BD!A$2:C$50, 2, FALSE), 3500)</f>
        <v/>
      </c>
      <c r="H194" s="8">
        <f>IFERROR(VLOOKUP(C194, BD!A$2:C$50, 3, FALSE), 1.45)</f>
        <v/>
      </c>
      <c r="I194" s="7">
        <f>(G194*H194)/48</f>
        <v/>
      </c>
      <c r="J194" s="7">
        <f>D194*E194*F194*I194</f>
        <v/>
      </c>
    </row>
    <row r="195">
      <c r="B195" s="6">
        <f>IFERROR(VLOOKUP(A195, WBS!A$4:B$200, 2, FALSE), "")</f>
        <v/>
      </c>
      <c r="G195" s="7">
        <f>IFERROR(VLOOKUP(C195, BD!A$2:C$50, 2, FALSE), 3500)</f>
        <v/>
      </c>
      <c r="H195" s="8">
        <f>IFERROR(VLOOKUP(C195, BD!A$2:C$50, 3, FALSE), 1.45)</f>
        <v/>
      </c>
      <c r="I195" s="7">
        <f>(G195*H195)/48</f>
        <v/>
      </c>
      <c r="J195" s="7">
        <f>D195*E195*F195*I195</f>
        <v/>
      </c>
    </row>
    <row r="196">
      <c r="B196" s="6">
        <f>IFERROR(VLOOKUP(A196, WBS!A$4:B$200, 2, FALSE), "")</f>
        <v/>
      </c>
      <c r="G196" s="7">
        <f>IFERROR(VLOOKUP(C196, BD!A$2:C$50, 2, FALSE), 3500)</f>
        <v/>
      </c>
      <c r="H196" s="8">
        <f>IFERROR(VLOOKUP(C196, BD!A$2:C$50, 3, FALSE), 1.45)</f>
        <v/>
      </c>
      <c r="I196" s="7">
        <f>(G196*H196)/48</f>
        <v/>
      </c>
      <c r="J196" s="7">
        <f>D196*E196*F196*I196</f>
        <v/>
      </c>
    </row>
    <row r="197">
      <c r="B197" s="6">
        <f>IFERROR(VLOOKUP(A197, WBS!A$4:B$200, 2, FALSE), "")</f>
        <v/>
      </c>
      <c r="G197" s="7">
        <f>IFERROR(VLOOKUP(C197, BD!A$2:C$50, 2, FALSE), 3500)</f>
        <v/>
      </c>
      <c r="H197" s="8">
        <f>IFERROR(VLOOKUP(C197, BD!A$2:C$50, 3, FALSE), 1.45)</f>
        <v/>
      </c>
      <c r="I197" s="7">
        <f>(G197*H197)/48</f>
        <v/>
      </c>
      <c r="J197" s="7">
        <f>D197*E197*F197*I197</f>
        <v/>
      </c>
    </row>
    <row r="198">
      <c r="B198" s="6">
        <f>IFERROR(VLOOKUP(A198, WBS!A$4:B$200, 2, FALSE), "")</f>
        <v/>
      </c>
      <c r="G198" s="7">
        <f>IFERROR(VLOOKUP(C198, BD!A$2:C$50, 2, FALSE), 3500)</f>
        <v/>
      </c>
      <c r="H198" s="8">
        <f>IFERROR(VLOOKUP(C198, BD!A$2:C$50, 3, FALSE), 1.45)</f>
        <v/>
      </c>
      <c r="I198" s="7">
        <f>(G198*H198)/48</f>
        <v/>
      </c>
      <c r="J198" s="7">
        <f>D198*E198*F198*I198</f>
        <v/>
      </c>
    </row>
    <row r="199">
      <c r="B199" s="6">
        <f>IFERROR(VLOOKUP(A199, WBS!A$4:B$200, 2, FALSE), "")</f>
        <v/>
      </c>
      <c r="G199" s="7">
        <f>IFERROR(VLOOKUP(C199, BD!A$2:C$50, 2, FALSE), 3500)</f>
        <v/>
      </c>
      <c r="H199" s="8">
        <f>IFERROR(VLOOKUP(C199, BD!A$2:C$50, 3, FALSE), 1.45)</f>
        <v/>
      </c>
      <c r="I199" s="7">
        <f>(G199*H199)/48</f>
        <v/>
      </c>
      <c r="J199" s="7">
        <f>D199*E199*F199*I199</f>
        <v/>
      </c>
    </row>
  </sheetData>
  <dataValidations count="1">
    <dataValidation sqref="C4:C200" showDropDown="0" showInputMessage="0" showErrorMessage="0" allowBlank="1" type="list">
      <formula1>BD!$A$2:$A$12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5" customWidth="1" min="3" max="3"/>
    <col width="16" customWidth="1" min="7" max="7"/>
    <col width="22" customWidth="1" min="8" max="8"/>
  </cols>
  <sheetData>
    <row r="1">
      <c r="A1" s="1" t="inlineStr">
        <is>
          <t>PASO 3.3 — DETALLE DE GASTOS GENERALES DE OBRA POR PARTIDA</t>
        </is>
      </c>
    </row>
    <row r="3">
      <c r="A3" s="2" t="inlineStr">
        <is>
          <t>Partida N°</t>
        </is>
      </c>
      <c r="B3" s="2" t="inlineStr">
        <is>
          <t>Partida WBS (Automático)</t>
        </is>
      </c>
      <c r="C3" s="2" t="inlineStr">
        <is>
          <t>Concepto de Gasto (Seleccionar)</t>
        </is>
      </c>
      <c r="D3" s="2" t="inlineStr">
        <is>
          <t>Cantidad</t>
        </is>
      </c>
      <c r="E3" s="2" t="inlineStr">
        <is>
          <t>Unidad</t>
        </is>
      </c>
      <c r="F3" s="2" t="inlineStr">
        <is>
          <t>Tiempo</t>
        </is>
      </c>
      <c r="G3" s="2" t="inlineStr">
        <is>
          <t>Costo Unitario</t>
        </is>
      </c>
      <c r="H3" s="2" t="inlineStr">
        <is>
          <t>Importe Total (MXN)</t>
        </is>
      </c>
    </row>
    <row r="4">
      <c r="A4" s="5" t="n">
        <v>1</v>
      </c>
      <c r="B4" s="6">
        <f>IFERROR(VLOOKUP(A4, WBS!A$4:B$200, 2, FALSE), "")</f>
        <v/>
      </c>
      <c r="C4" s="3" t="inlineStr">
        <is>
          <t>Pasajes y Fletes Especiales Obra</t>
        </is>
      </c>
      <c r="D4" t="n">
        <v>1</v>
      </c>
      <c r="E4" t="inlineStr">
        <is>
          <t>VJE</t>
        </is>
      </c>
      <c r="F4" t="n">
        <v>5</v>
      </c>
      <c r="G4" s="7" t="n">
        <v>2500</v>
      </c>
      <c r="H4" s="9">
        <f>D4*F4*G4</f>
        <v/>
      </c>
    </row>
    <row r="5">
      <c r="A5" s="5" t="n">
        <v>2</v>
      </c>
      <c r="B5" s="6">
        <f>IFERROR(VLOOKUP(A5, WBS!A$4:B$200, 2, FALSE), "")</f>
        <v/>
      </c>
      <c r="C5" s="3" t="inlineStr">
        <is>
          <t>Combustibles de Camionetas y Maquinaria</t>
        </is>
      </c>
      <c r="D5" t="n">
        <v>1</v>
      </c>
      <c r="E5" t="inlineStr">
        <is>
          <t>LOTE</t>
        </is>
      </c>
      <c r="F5" t="n">
        <v>1</v>
      </c>
      <c r="G5" s="7" t="n">
        <v>3500</v>
      </c>
      <c r="H5" s="9">
        <f>D5*F5*G5</f>
        <v/>
      </c>
    </row>
    <row r="6">
      <c r="B6" s="6">
        <f>IFERROR(VLOOKUP(A6, WBS!A$4:B$200, 2, FALSE), "")</f>
        <v/>
      </c>
      <c r="H6" s="7">
        <f>D6*F6*G6</f>
        <v/>
      </c>
    </row>
    <row r="7">
      <c r="B7" s="6">
        <f>IFERROR(VLOOKUP(A7, WBS!A$4:B$200, 2, FALSE), "")</f>
        <v/>
      </c>
      <c r="H7" s="7">
        <f>D7*F7*G7</f>
        <v/>
      </c>
    </row>
    <row r="8">
      <c r="B8" s="6">
        <f>IFERROR(VLOOKUP(A8, WBS!A$4:B$200, 2, FALSE), "")</f>
        <v/>
      </c>
      <c r="H8" s="7">
        <f>D8*F8*G8</f>
        <v/>
      </c>
    </row>
    <row r="9">
      <c r="B9" s="6">
        <f>IFERROR(VLOOKUP(A9, WBS!A$4:B$200, 2, FALSE), "")</f>
        <v/>
      </c>
      <c r="H9" s="7">
        <f>D9*F9*G9</f>
        <v/>
      </c>
    </row>
    <row r="10">
      <c r="B10" s="6">
        <f>IFERROR(VLOOKUP(A10, WBS!A$4:B$200, 2, FALSE), "")</f>
        <v/>
      </c>
      <c r="H10" s="7">
        <f>D10*F10*G10</f>
        <v/>
      </c>
    </row>
    <row r="11">
      <c r="B11" s="6">
        <f>IFERROR(VLOOKUP(A11, WBS!A$4:B$200, 2, FALSE), "")</f>
        <v/>
      </c>
      <c r="H11" s="7">
        <f>D11*F11*G11</f>
        <v/>
      </c>
    </row>
    <row r="12">
      <c r="B12" s="6">
        <f>IFERROR(VLOOKUP(A12, WBS!A$4:B$200, 2, FALSE), "")</f>
        <v/>
      </c>
      <c r="H12" s="7">
        <f>D12*F12*G12</f>
        <v/>
      </c>
    </row>
    <row r="13">
      <c r="B13" s="6">
        <f>IFERROR(VLOOKUP(A13, WBS!A$4:B$200, 2, FALSE), "")</f>
        <v/>
      </c>
      <c r="H13" s="7">
        <f>D13*F13*G13</f>
        <v/>
      </c>
    </row>
    <row r="14">
      <c r="B14" s="6">
        <f>IFERROR(VLOOKUP(A14, WBS!A$4:B$200, 2, FALSE), "")</f>
        <v/>
      </c>
      <c r="H14" s="7">
        <f>D14*F14*G14</f>
        <v/>
      </c>
    </row>
    <row r="15">
      <c r="B15" s="6">
        <f>IFERROR(VLOOKUP(A15, WBS!A$4:B$200, 2, FALSE), "")</f>
        <v/>
      </c>
      <c r="H15" s="7">
        <f>D15*F15*G15</f>
        <v/>
      </c>
    </row>
    <row r="16">
      <c r="B16" s="6">
        <f>IFERROR(VLOOKUP(A16, WBS!A$4:B$200, 2, FALSE), "")</f>
        <v/>
      </c>
      <c r="H16" s="7">
        <f>D16*F16*G16</f>
        <v/>
      </c>
    </row>
    <row r="17">
      <c r="B17" s="6">
        <f>IFERROR(VLOOKUP(A17, WBS!A$4:B$200, 2, FALSE), "")</f>
        <v/>
      </c>
      <c r="H17" s="7">
        <f>D17*F17*G17</f>
        <v/>
      </c>
    </row>
    <row r="18">
      <c r="B18" s="6">
        <f>IFERROR(VLOOKUP(A18, WBS!A$4:B$200, 2, FALSE), "")</f>
        <v/>
      </c>
      <c r="H18" s="7">
        <f>D18*F18*G18</f>
        <v/>
      </c>
    </row>
    <row r="19">
      <c r="B19" s="6">
        <f>IFERROR(VLOOKUP(A19, WBS!A$4:B$200, 2, FALSE), "")</f>
        <v/>
      </c>
      <c r="H19" s="7">
        <f>D19*F19*G19</f>
        <v/>
      </c>
    </row>
    <row r="20">
      <c r="B20" s="6">
        <f>IFERROR(VLOOKUP(A20, WBS!A$4:B$200, 2, FALSE), "")</f>
        <v/>
      </c>
      <c r="H20" s="7">
        <f>D20*F20*G20</f>
        <v/>
      </c>
    </row>
    <row r="21">
      <c r="B21" s="6">
        <f>IFERROR(VLOOKUP(A21, WBS!A$4:B$200, 2, FALSE), "")</f>
        <v/>
      </c>
      <c r="H21" s="7">
        <f>D21*F21*G21</f>
        <v/>
      </c>
    </row>
    <row r="22">
      <c r="B22" s="6">
        <f>IFERROR(VLOOKUP(A22, WBS!A$4:B$200, 2, FALSE), "")</f>
        <v/>
      </c>
      <c r="H22" s="7">
        <f>D22*F22*G22</f>
        <v/>
      </c>
    </row>
    <row r="23">
      <c r="B23" s="6">
        <f>IFERROR(VLOOKUP(A23, WBS!A$4:B$200, 2, FALSE), "")</f>
        <v/>
      </c>
      <c r="H23" s="7">
        <f>D23*F23*G23</f>
        <v/>
      </c>
    </row>
    <row r="24">
      <c r="B24" s="6">
        <f>IFERROR(VLOOKUP(A24, WBS!A$4:B$200, 2, FALSE), "")</f>
        <v/>
      </c>
      <c r="H24" s="7">
        <f>D24*F24*G24</f>
        <v/>
      </c>
    </row>
    <row r="25">
      <c r="B25" s="6">
        <f>IFERROR(VLOOKUP(A25, WBS!A$4:B$200, 2, FALSE), "")</f>
        <v/>
      </c>
      <c r="H25" s="7">
        <f>D25*F25*G25</f>
        <v/>
      </c>
    </row>
    <row r="26">
      <c r="B26" s="6">
        <f>IFERROR(VLOOKUP(A26, WBS!A$4:B$200, 2, FALSE), "")</f>
        <v/>
      </c>
      <c r="H26" s="7">
        <f>D26*F26*G26</f>
        <v/>
      </c>
    </row>
    <row r="27">
      <c r="B27" s="6">
        <f>IFERROR(VLOOKUP(A27, WBS!A$4:B$200, 2, FALSE), "")</f>
        <v/>
      </c>
      <c r="H27" s="7">
        <f>D27*F27*G27</f>
        <v/>
      </c>
    </row>
    <row r="28">
      <c r="B28" s="6">
        <f>IFERROR(VLOOKUP(A28, WBS!A$4:B$200, 2, FALSE), "")</f>
        <v/>
      </c>
      <c r="H28" s="7">
        <f>D28*F28*G28</f>
        <v/>
      </c>
    </row>
    <row r="29">
      <c r="B29" s="6">
        <f>IFERROR(VLOOKUP(A29, WBS!A$4:B$200, 2, FALSE), "")</f>
        <v/>
      </c>
      <c r="H29" s="7">
        <f>D29*F29*G29</f>
        <v/>
      </c>
    </row>
    <row r="30">
      <c r="B30" s="6">
        <f>IFERROR(VLOOKUP(A30, WBS!A$4:B$200, 2, FALSE), "")</f>
        <v/>
      </c>
      <c r="H30" s="7">
        <f>D30*F30*G30</f>
        <v/>
      </c>
    </row>
    <row r="31">
      <c r="B31" s="6">
        <f>IFERROR(VLOOKUP(A31, WBS!A$4:B$200, 2, FALSE), "")</f>
        <v/>
      </c>
      <c r="H31" s="7">
        <f>D31*F31*G31</f>
        <v/>
      </c>
    </row>
    <row r="32">
      <c r="B32" s="6">
        <f>IFERROR(VLOOKUP(A32, WBS!A$4:B$200, 2, FALSE), "")</f>
        <v/>
      </c>
      <c r="H32" s="7">
        <f>D32*F32*G32</f>
        <v/>
      </c>
    </row>
    <row r="33">
      <c r="B33" s="6">
        <f>IFERROR(VLOOKUP(A33, WBS!A$4:B$200, 2, FALSE), "")</f>
        <v/>
      </c>
      <c r="H33" s="7">
        <f>D33*F33*G33</f>
        <v/>
      </c>
    </row>
    <row r="34">
      <c r="B34" s="6">
        <f>IFERROR(VLOOKUP(A34, WBS!A$4:B$200, 2, FALSE), "")</f>
        <v/>
      </c>
      <c r="H34" s="7">
        <f>D34*F34*G34</f>
        <v/>
      </c>
    </row>
    <row r="35">
      <c r="B35" s="6">
        <f>IFERROR(VLOOKUP(A35, WBS!A$4:B$200, 2, FALSE), "")</f>
        <v/>
      </c>
      <c r="H35" s="7">
        <f>D35*F35*G35</f>
        <v/>
      </c>
    </row>
    <row r="36">
      <c r="B36" s="6">
        <f>IFERROR(VLOOKUP(A36, WBS!A$4:B$200, 2, FALSE), "")</f>
        <v/>
      </c>
      <c r="H36" s="7">
        <f>D36*F36*G36</f>
        <v/>
      </c>
    </row>
    <row r="37">
      <c r="B37" s="6">
        <f>IFERROR(VLOOKUP(A37, WBS!A$4:B$200, 2, FALSE), "")</f>
        <v/>
      </c>
      <c r="H37" s="7">
        <f>D37*F37*G37</f>
        <v/>
      </c>
    </row>
    <row r="38">
      <c r="B38" s="6">
        <f>IFERROR(VLOOKUP(A38, WBS!A$4:B$200, 2, FALSE), "")</f>
        <v/>
      </c>
      <c r="H38" s="7">
        <f>D38*F38*G38</f>
        <v/>
      </c>
    </row>
    <row r="39">
      <c r="B39" s="6">
        <f>IFERROR(VLOOKUP(A39, WBS!A$4:B$200, 2, FALSE), "")</f>
        <v/>
      </c>
      <c r="H39" s="7">
        <f>D39*F39*G39</f>
        <v/>
      </c>
    </row>
    <row r="40">
      <c r="B40" s="6">
        <f>IFERROR(VLOOKUP(A40, WBS!A$4:B$200, 2, FALSE), "")</f>
        <v/>
      </c>
      <c r="H40" s="7">
        <f>D40*F40*G40</f>
        <v/>
      </c>
    </row>
    <row r="41">
      <c r="B41" s="6">
        <f>IFERROR(VLOOKUP(A41, WBS!A$4:B$200, 2, FALSE), "")</f>
        <v/>
      </c>
      <c r="H41" s="7">
        <f>D41*F41*G41</f>
        <v/>
      </c>
    </row>
    <row r="42">
      <c r="B42" s="6">
        <f>IFERROR(VLOOKUP(A42, WBS!A$4:B$200, 2, FALSE), "")</f>
        <v/>
      </c>
      <c r="H42" s="7">
        <f>D42*F42*G42</f>
        <v/>
      </c>
    </row>
    <row r="43">
      <c r="B43" s="6">
        <f>IFERROR(VLOOKUP(A43, WBS!A$4:B$200, 2, FALSE), "")</f>
        <v/>
      </c>
      <c r="H43" s="7">
        <f>D43*F43*G43</f>
        <v/>
      </c>
    </row>
    <row r="44">
      <c r="B44" s="6">
        <f>IFERROR(VLOOKUP(A44, WBS!A$4:B$200, 2, FALSE), "")</f>
        <v/>
      </c>
      <c r="H44" s="7">
        <f>D44*F44*G44</f>
        <v/>
      </c>
    </row>
    <row r="45">
      <c r="B45" s="6">
        <f>IFERROR(VLOOKUP(A45, WBS!A$4:B$200, 2, FALSE), "")</f>
        <v/>
      </c>
      <c r="H45" s="7">
        <f>D45*F45*G45</f>
        <v/>
      </c>
    </row>
    <row r="46">
      <c r="B46" s="6">
        <f>IFERROR(VLOOKUP(A46, WBS!A$4:B$200, 2, FALSE), "")</f>
        <v/>
      </c>
      <c r="H46" s="7">
        <f>D46*F46*G46</f>
        <v/>
      </c>
    </row>
    <row r="47">
      <c r="B47" s="6">
        <f>IFERROR(VLOOKUP(A47, WBS!A$4:B$200, 2, FALSE), "")</f>
        <v/>
      </c>
      <c r="H47" s="7">
        <f>D47*F47*G47</f>
        <v/>
      </c>
    </row>
    <row r="48">
      <c r="B48" s="6">
        <f>IFERROR(VLOOKUP(A48, WBS!A$4:B$200, 2, FALSE), "")</f>
        <v/>
      </c>
      <c r="H48" s="7">
        <f>D48*F48*G48</f>
        <v/>
      </c>
    </row>
    <row r="49">
      <c r="B49" s="6">
        <f>IFERROR(VLOOKUP(A49, WBS!A$4:B$200, 2, FALSE), "")</f>
        <v/>
      </c>
      <c r="H49" s="7">
        <f>D49*F49*G49</f>
        <v/>
      </c>
    </row>
    <row r="50">
      <c r="B50" s="6">
        <f>IFERROR(VLOOKUP(A50, WBS!A$4:B$200, 2, FALSE), "")</f>
        <v/>
      </c>
      <c r="H50" s="7">
        <f>D50*F50*G50</f>
        <v/>
      </c>
    </row>
    <row r="51">
      <c r="B51" s="6">
        <f>IFERROR(VLOOKUP(A51, WBS!A$4:B$200, 2, FALSE), "")</f>
        <v/>
      </c>
      <c r="H51" s="7">
        <f>D51*F51*G51</f>
        <v/>
      </c>
    </row>
    <row r="52">
      <c r="B52" s="6">
        <f>IFERROR(VLOOKUP(A52, WBS!A$4:B$200, 2, FALSE), "")</f>
        <v/>
      </c>
      <c r="H52" s="7">
        <f>D52*F52*G52</f>
        <v/>
      </c>
    </row>
    <row r="53">
      <c r="B53" s="6">
        <f>IFERROR(VLOOKUP(A53, WBS!A$4:B$200, 2, FALSE), "")</f>
        <v/>
      </c>
      <c r="H53" s="7">
        <f>D53*F53*G53</f>
        <v/>
      </c>
    </row>
    <row r="54">
      <c r="B54" s="6">
        <f>IFERROR(VLOOKUP(A54, WBS!A$4:B$200, 2, FALSE), "")</f>
        <v/>
      </c>
      <c r="H54" s="7">
        <f>D54*F54*G54</f>
        <v/>
      </c>
    </row>
    <row r="55">
      <c r="B55" s="6">
        <f>IFERROR(VLOOKUP(A55, WBS!A$4:B$200, 2, FALSE), "")</f>
        <v/>
      </c>
      <c r="H55" s="7">
        <f>D55*F55*G55</f>
        <v/>
      </c>
    </row>
    <row r="56">
      <c r="B56" s="6">
        <f>IFERROR(VLOOKUP(A56, WBS!A$4:B$200, 2, FALSE), "")</f>
        <v/>
      </c>
      <c r="H56" s="7">
        <f>D56*F56*G56</f>
        <v/>
      </c>
    </row>
    <row r="57">
      <c r="B57" s="6">
        <f>IFERROR(VLOOKUP(A57, WBS!A$4:B$200, 2, FALSE), "")</f>
        <v/>
      </c>
      <c r="H57" s="7">
        <f>D57*F57*G57</f>
        <v/>
      </c>
    </row>
    <row r="58">
      <c r="B58" s="6">
        <f>IFERROR(VLOOKUP(A58, WBS!A$4:B$200, 2, FALSE), "")</f>
        <v/>
      </c>
      <c r="H58" s="7">
        <f>D58*F58*G58</f>
        <v/>
      </c>
    </row>
    <row r="59">
      <c r="B59" s="6">
        <f>IFERROR(VLOOKUP(A59, WBS!A$4:B$200, 2, FALSE), "")</f>
        <v/>
      </c>
      <c r="H59" s="7">
        <f>D59*F59*G59</f>
        <v/>
      </c>
    </row>
    <row r="60">
      <c r="B60" s="6">
        <f>IFERROR(VLOOKUP(A60, WBS!A$4:B$200, 2, FALSE), "")</f>
        <v/>
      </c>
      <c r="H60" s="7">
        <f>D60*F60*G60</f>
        <v/>
      </c>
    </row>
    <row r="61">
      <c r="B61" s="6">
        <f>IFERROR(VLOOKUP(A61, WBS!A$4:B$200, 2, FALSE), "")</f>
        <v/>
      </c>
      <c r="H61" s="7">
        <f>D61*F61*G61</f>
        <v/>
      </c>
    </row>
    <row r="62">
      <c r="B62" s="6">
        <f>IFERROR(VLOOKUP(A62, WBS!A$4:B$200, 2, FALSE), "")</f>
        <v/>
      </c>
      <c r="H62" s="7">
        <f>D62*F62*G62</f>
        <v/>
      </c>
    </row>
    <row r="63">
      <c r="B63" s="6">
        <f>IFERROR(VLOOKUP(A63, WBS!A$4:B$200, 2, FALSE), "")</f>
        <v/>
      </c>
      <c r="H63" s="7">
        <f>D63*F63*G63</f>
        <v/>
      </c>
    </row>
    <row r="64">
      <c r="B64" s="6">
        <f>IFERROR(VLOOKUP(A64, WBS!A$4:B$200, 2, FALSE), "")</f>
        <v/>
      </c>
      <c r="H64" s="7">
        <f>D64*F64*G64</f>
        <v/>
      </c>
    </row>
    <row r="65">
      <c r="B65" s="6">
        <f>IFERROR(VLOOKUP(A65, WBS!A$4:B$200, 2, FALSE), "")</f>
        <v/>
      </c>
      <c r="H65" s="7">
        <f>D65*F65*G65</f>
        <v/>
      </c>
    </row>
    <row r="66">
      <c r="B66" s="6">
        <f>IFERROR(VLOOKUP(A66, WBS!A$4:B$200, 2, FALSE), "")</f>
        <v/>
      </c>
      <c r="H66" s="7">
        <f>D66*F66*G66</f>
        <v/>
      </c>
    </row>
    <row r="67">
      <c r="B67" s="6">
        <f>IFERROR(VLOOKUP(A67, WBS!A$4:B$200, 2, FALSE), "")</f>
        <v/>
      </c>
      <c r="H67" s="7">
        <f>D67*F67*G67</f>
        <v/>
      </c>
    </row>
    <row r="68">
      <c r="B68" s="6">
        <f>IFERROR(VLOOKUP(A68, WBS!A$4:B$200, 2, FALSE), "")</f>
        <v/>
      </c>
      <c r="H68" s="7">
        <f>D68*F68*G68</f>
        <v/>
      </c>
    </row>
    <row r="69">
      <c r="B69" s="6">
        <f>IFERROR(VLOOKUP(A69, WBS!A$4:B$200, 2, FALSE), "")</f>
        <v/>
      </c>
      <c r="H69" s="7">
        <f>D69*F69*G69</f>
        <v/>
      </c>
    </row>
    <row r="70">
      <c r="B70" s="6">
        <f>IFERROR(VLOOKUP(A70, WBS!A$4:B$200, 2, FALSE), "")</f>
        <v/>
      </c>
      <c r="H70" s="7">
        <f>D70*F70*G70</f>
        <v/>
      </c>
    </row>
    <row r="71">
      <c r="B71" s="6">
        <f>IFERROR(VLOOKUP(A71, WBS!A$4:B$200, 2, FALSE), "")</f>
        <v/>
      </c>
      <c r="H71" s="7">
        <f>D71*F71*G71</f>
        <v/>
      </c>
    </row>
    <row r="72">
      <c r="B72" s="6">
        <f>IFERROR(VLOOKUP(A72, WBS!A$4:B$200, 2, FALSE), "")</f>
        <v/>
      </c>
      <c r="H72" s="7">
        <f>D72*F72*G72</f>
        <v/>
      </c>
    </row>
    <row r="73">
      <c r="B73" s="6">
        <f>IFERROR(VLOOKUP(A73, WBS!A$4:B$200, 2, FALSE), "")</f>
        <v/>
      </c>
      <c r="H73" s="7">
        <f>D73*F73*G73</f>
        <v/>
      </c>
    </row>
    <row r="74">
      <c r="B74" s="6">
        <f>IFERROR(VLOOKUP(A74, WBS!A$4:B$200, 2, FALSE), "")</f>
        <v/>
      </c>
      <c r="H74" s="7">
        <f>D74*F74*G74</f>
        <v/>
      </c>
    </row>
    <row r="75">
      <c r="B75" s="6">
        <f>IFERROR(VLOOKUP(A75, WBS!A$4:B$200, 2, FALSE), "")</f>
        <v/>
      </c>
      <c r="H75" s="7">
        <f>D75*F75*G75</f>
        <v/>
      </c>
    </row>
    <row r="76">
      <c r="B76" s="6">
        <f>IFERROR(VLOOKUP(A76, WBS!A$4:B$200, 2, FALSE), "")</f>
        <v/>
      </c>
      <c r="H76" s="7">
        <f>D76*F76*G76</f>
        <v/>
      </c>
    </row>
    <row r="77">
      <c r="B77" s="6">
        <f>IFERROR(VLOOKUP(A77, WBS!A$4:B$200, 2, FALSE), "")</f>
        <v/>
      </c>
      <c r="H77" s="7">
        <f>D77*F77*G77</f>
        <v/>
      </c>
    </row>
    <row r="78">
      <c r="B78" s="6">
        <f>IFERROR(VLOOKUP(A78, WBS!A$4:B$200, 2, FALSE), "")</f>
        <v/>
      </c>
      <c r="H78" s="7">
        <f>D78*F78*G78</f>
        <v/>
      </c>
    </row>
    <row r="79">
      <c r="B79" s="6">
        <f>IFERROR(VLOOKUP(A79, WBS!A$4:B$200, 2, FALSE), "")</f>
        <v/>
      </c>
      <c r="H79" s="7">
        <f>D79*F79*G79</f>
        <v/>
      </c>
    </row>
    <row r="80">
      <c r="B80" s="6">
        <f>IFERROR(VLOOKUP(A80, WBS!A$4:B$200, 2, FALSE), "")</f>
        <v/>
      </c>
      <c r="H80" s="7">
        <f>D80*F80*G80</f>
        <v/>
      </c>
    </row>
    <row r="81">
      <c r="B81" s="6">
        <f>IFERROR(VLOOKUP(A81, WBS!A$4:B$200, 2, FALSE), "")</f>
        <v/>
      </c>
      <c r="H81" s="7">
        <f>D81*F81*G81</f>
        <v/>
      </c>
    </row>
    <row r="82">
      <c r="B82" s="6">
        <f>IFERROR(VLOOKUP(A82, WBS!A$4:B$200, 2, FALSE), "")</f>
        <v/>
      </c>
      <c r="H82" s="7">
        <f>D82*F82*G82</f>
        <v/>
      </c>
    </row>
    <row r="83">
      <c r="B83" s="6">
        <f>IFERROR(VLOOKUP(A83, WBS!A$4:B$200, 2, FALSE), "")</f>
        <v/>
      </c>
      <c r="H83" s="7">
        <f>D83*F83*G83</f>
        <v/>
      </c>
    </row>
    <row r="84">
      <c r="B84" s="6">
        <f>IFERROR(VLOOKUP(A84, WBS!A$4:B$200, 2, FALSE), "")</f>
        <v/>
      </c>
      <c r="H84" s="7">
        <f>D84*F84*G84</f>
        <v/>
      </c>
    </row>
    <row r="85">
      <c r="B85" s="6">
        <f>IFERROR(VLOOKUP(A85, WBS!A$4:B$200, 2, FALSE), "")</f>
        <v/>
      </c>
      <c r="H85" s="7">
        <f>D85*F85*G85</f>
        <v/>
      </c>
    </row>
    <row r="86">
      <c r="B86" s="6">
        <f>IFERROR(VLOOKUP(A86, WBS!A$4:B$200, 2, FALSE), "")</f>
        <v/>
      </c>
      <c r="H86" s="7">
        <f>D86*F86*G86</f>
        <v/>
      </c>
    </row>
    <row r="87">
      <c r="B87" s="6">
        <f>IFERROR(VLOOKUP(A87, WBS!A$4:B$200, 2, FALSE), "")</f>
        <v/>
      </c>
      <c r="H87" s="7">
        <f>D87*F87*G87</f>
        <v/>
      </c>
    </row>
    <row r="88">
      <c r="B88" s="6">
        <f>IFERROR(VLOOKUP(A88, WBS!A$4:B$200, 2, FALSE), "")</f>
        <v/>
      </c>
      <c r="H88" s="7">
        <f>D88*F88*G88</f>
        <v/>
      </c>
    </row>
    <row r="89">
      <c r="B89" s="6">
        <f>IFERROR(VLOOKUP(A89, WBS!A$4:B$200, 2, FALSE), "")</f>
        <v/>
      </c>
      <c r="H89" s="7">
        <f>D89*F89*G89</f>
        <v/>
      </c>
    </row>
    <row r="90">
      <c r="B90" s="6">
        <f>IFERROR(VLOOKUP(A90, WBS!A$4:B$200, 2, FALSE), "")</f>
        <v/>
      </c>
      <c r="H90" s="7">
        <f>D90*F90*G90</f>
        <v/>
      </c>
    </row>
    <row r="91">
      <c r="B91" s="6">
        <f>IFERROR(VLOOKUP(A91, WBS!A$4:B$200, 2, FALSE), "")</f>
        <v/>
      </c>
      <c r="H91" s="7">
        <f>D91*F91*G91</f>
        <v/>
      </c>
    </row>
    <row r="92">
      <c r="B92" s="6">
        <f>IFERROR(VLOOKUP(A92, WBS!A$4:B$200, 2, FALSE), "")</f>
        <v/>
      </c>
      <c r="H92" s="7">
        <f>D92*F92*G92</f>
        <v/>
      </c>
    </row>
    <row r="93">
      <c r="B93" s="6">
        <f>IFERROR(VLOOKUP(A93, WBS!A$4:B$200, 2, FALSE), "")</f>
        <v/>
      </c>
      <c r="H93" s="7">
        <f>D93*F93*G93</f>
        <v/>
      </c>
    </row>
    <row r="94">
      <c r="B94" s="6">
        <f>IFERROR(VLOOKUP(A94, WBS!A$4:B$200, 2, FALSE), "")</f>
        <v/>
      </c>
      <c r="H94" s="7">
        <f>D94*F94*G94</f>
        <v/>
      </c>
    </row>
    <row r="95">
      <c r="B95" s="6">
        <f>IFERROR(VLOOKUP(A95, WBS!A$4:B$200, 2, FALSE), "")</f>
        <v/>
      </c>
      <c r="H95" s="7">
        <f>D95*F95*G95</f>
        <v/>
      </c>
    </row>
    <row r="96">
      <c r="B96" s="6">
        <f>IFERROR(VLOOKUP(A96, WBS!A$4:B$200, 2, FALSE), "")</f>
        <v/>
      </c>
      <c r="H96" s="7">
        <f>D96*F96*G96</f>
        <v/>
      </c>
    </row>
    <row r="97">
      <c r="B97" s="6">
        <f>IFERROR(VLOOKUP(A97, WBS!A$4:B$200, 2, FALSE), "")</f>
        <v/>
      </c>
      <c r="H97" s="7">
        <f>D97*F97*G97</f>
        <v/>
      </c>
    </row>
    <row r="98">
      <c r="B98" s="6">
        <f>IFERROR(VLOOKUP(A98, WBS!A$4:B$200, 2, FALSE), "")</f>
        <v/>
      </c>
      <c r="H98" s="7">
        <f>D98*F98*G98</f>
        <v/>
      </c>
    </row>
    <row r="99">
      <c r="B99" s="6">
        <f>IFERROR(VLOOKUP(A99, WBS!A$4:B$200, 2, FALSE), "")</f>
        <v/>
      </c>
      <c r="H99" s="7">
        <f>D99*F99*G99</f>
        <v/>
      </c>
    </row>
    <row r="100">
      <c r="B100" s="6">
        <f>IFERROR(VLOOKUP(A100, WBS!A$4:B$200, 2, FALSE), "")</f>
        <v/>
      </c>
      <c r="H100" s="7">
        <f>D100*F100*G100</f>
        <v/>
      </c>
    </row>
    <row r="101">
      <c r="B101" s="6">
        <f>IFERROR(VLOOKUP(A101, WBS!A$4:B$200, 2, FALSE), "")</f>
        <v/>
      </c>
      <c r="H101" s="7">
        <f>D101*F101*G101</f>
        <v/>
      </c>
    </row>
    <row r="102">
      <c r="B102" s="6">
        <f>IFERROR(VLOOKUP(A102, WBS!A$4:B$200, 2, FALSE), "")</f>
        <v/>
      </c>
      <c r="H102" s="7">
        <f>D102*F102*G102</f>
        <v/>
      </c>
    </row>
    <row r="103">
      <c r="B103" s="6">
        <f>IFERROR(VLOOKUP(A103, WBS!A$4:B$200, 2, FALSE), "")</f>
        <v/>
      </c>
      <c r="H103" s="7">
        <f>D103*F103*G103</f>
        <v/>
      </c>
    </row>
    <row r="104">
      <c r="B104" s="6">
        <f>IFERROR(VLOOKUP(A104, WBS!A$4:B$200, 2, FALSE), "")</f>
        <v/>
      </c>
      <c r="H104" s="7">
        <f>D104*F104*G104</f>
        <v/>
      </c>
    </row>
    <row r="105">
      <c r="B105" s="6">
        <f>IFERROR(VLOOKUP(A105, WBS!A$4:B$200, 2, FALSE), "")</f>
        <v/>
      </c>
      <c r="H105" s="7">
        <f>D105*F105*G105</f>
        <v/>
      </c>
    </row>
    <row r="106">
      <c r="B106" s="6">
        <f>IFERROR(VLOOKUP(A106, WBS!A$4:B$200, 2, FALSE), "")</f>
        <v/>
      </c>
      <c r="H106" s="7">
        <f>D106*F106*G106</f>
        <v/>
      </c>
    </row>
    <row r="107">
      <c r="B107" s="6">
        <f>IFERROR(VLOOKUP(A107, WBS!A$4:B$200, 2, FALSE), "")</f>
        <v/>
      </c>
      <c r="H107" s="7">
        <f>D107*F107*G107</f>
        <v/>
      </c>
    </row>
    <row r="108">
      <c r="B108" s="6">
        <f>IFERROR(VLOOKUP(A108, WBS!A$4:B$200, 2, FALSE), "")</f>
        <v/>
      </c>
      <c r="H108" s="7">
        <f>D108*F108*G108</f>
        <v/>
      </c>
    </row>
    <row r="109">
      <c r="B109" s="6">
        <f>IFERROR(VLOOKUP(A109, WBS!A$4:B$200, 2, FALSE), "")</f>
        <v/>
      </c>
      <c r="H109" s="7">
        <f>D109*F109*G109</f>
        <v/>
      </c>
    </row>
    <row r="110">
      <c r="B110" s="6">
        <f>IFERROR(VLOOKUP(A110, WBS!A$4:B$200, 2, FALSE), "")</f>
        <v/>
      </c>
      <c r="H110" s="7">
        <f>D110*F110*G110</f>
        <v/>
      </c>
    </row>
    <row r="111">
      <c r="B111" s="6">
        <f>IFERROR(VLOOKUP(A111, WBS!A$4:B$200, 2, FALSE), "")</f>
        <v/>
      </c>
      <c r="H111" s="7">
        <f>D111*F111*G111</f>
        <v/>
      </c>
    </row>
    <row r="112">
      <c r="B112" s="6">
        <f>IFERROR(VLOOKUP(A112, WBS!A$4:B$200, 2, FALSE), "")</f>
        <v/>
      </c>
      <c r="H112" s="7">
        <f>D112*F112*G112</f>
        <v/>
      </c>
    </row>
    <row r="113">
      <c r="B113" s="6">
        <f>IFERROR(VLOOKUP(A113, WBS!A$4:B$200, 2, FALSE), "")</f>
        <v/>
      </c>
      <c r="H113" s="7">
        <f>D113*F113*G113</f>
        <v/>
      </c>
    </row>
    <row r="114">
      <c r="B114" s="6">
        <f>IFERROR(VLOOKUP(A114, WBS!A$4:B$200, 2, FALSE), "")</f>
        <v/>
      </c>
      <c r="H114" s="7">
        <f>D114*F114*G114</f>
        <v/>
      </c>
    </row>
    <row r="115">
      <c r="B115" s="6">
        <f>IFERROR(VLOOKUP(A115, WBS!A$4:B$200, 2, FALSE), "")</f>
        <v/>
      </c>
      <c r="H115" s="7">
        <f>D115*F115*G115</f>
        <v/>
      </c>
    </row>
    <row r="116">
      <c r="B116" s="6">
        <f>IFERROR(VLOOKUP(A116, WBS!A$4:B$200, 2, FALSE), "")</f>
        <v/>
      </c>
      <c r="H116" s="7">
        <f>D116*F116*G116</f>
        <v/>
      </c>
    </row>
    <row r="117">
      <c r="B117" s="6">
        <f>IFERROR(VLOOKUP(A117, WBS!A$4:B$200, 2, FALSE), "")</f>
        <v/>
      </c>
      <c r="H117" s="7">
        <f>D117*F117*G117</f>
        <v/>
      </c>
    </row>
    <row r="118">
      <c r="B118" s="6">
        <f>IFERROR(VLOOKUP(A118, WBS!A$4:B$200, 2, FALSE), "")</f>
        <v/>
      </c>
      <c r="H118" s="7">
        <f>D118*F118*G118</f>
        <v/>
      </c>
    </row>
    <row r="119">
      <c r="B119" s="6">
        <f>IFERROR(VLOOKUP(A119, WBS!A$4:B$200, 2, FALSE), "")</f>
        <v/>
      </c>
      <c r="H119" s="7">
        <f>D119*F119*G119</f>
        <v/>
      </c>
    </row>
    <row r="120">
      <c r="B120" s="6">
        <f>IFERROR(VLOOKUP(A120, WBS!A$4:B$200, 2, FALSE), "")</f>
        <v/>
      </c>
      <c r="H120" s="7">
        <f>D120*F120*G120</f>
        <v/>
      </c>
    </row>
    <row r="121">
      <c r="B121" s="6">
        <f>IFERROR(VLOOKUP(A121, WBS!A$4:B$200, 2, FALSE), "")</f>
        <v/>
      </c>
      <c r="H121" s="7">
        <f>D121*F121*G121</f>
        <v/>
      </c>
    </row>
    <row r="122">
      <c r="B122" s="6">
        <f>IFERROR(VLOOKUP(A122, WBS!A$4:B$200, 2, FALSE), "")</f>
        <v/>
      </c>
      <c r="H122" s="7">
        <f>D122*F122*G122</f>
        <v/>
      </c>
    </row>
    <row r="123">
      <c r="B123" s="6">
        <f>IFERROR(VLOOKUP(A123, WBS!A$4:B$200, 2, FALSE), "")</f>
        <v/>
      </c>
      <c r="H123" s="7">
        <f>D123*F123*G123</f>
        <v/>
      </c>
    </row>
    <row r="124">
      <c r="B124" s="6">
        <f>IFERROR(VLOOKUP(A124, WBS!A$4:B$200, 2, FALSE), "")</f>
        <v/>
      </c>
      <c r="H124" s="7">
        <f>D124*F124*G124</f>
        <v/>
      </c>
    </row>
    <row r="125">
      <c r="B125" s="6">
        <f>IFERROR(VLOOKUP(A125, WBS!A$4:B$200, 2, FALSE), "")</f>
        <v/>
      </c>
      <c r="H125" s="7">
        <f>D125*F125*G125</f>
        <v/>
      </c>
    </row>
    <row r="126">
      <c r="B126" s="6">
        <f>IFERROR(VLOOKUP(A126, WBS!A$4:B$200, 2, FALSE), "")</f>
        <v/>
      </c>
      <c r="H126" s="7">
        <f>D126*F126*G126</f>
        <v/>
      </c>
    </row>
    <row r="127">
      <c r="B127" s="6">
        <f>IFERROR(VLOOKUP(A127, WBS!A$4:B$200, 2, FALSE), "")</f>
        <v/>
      </c>
      <c r="H127" s="7">
        <f>D127*F127*G127</f>
        <v/>
      </c>
    </row>
    <row r="128">
      <c r="B128" s="6">
        <f>IFERROR(VLOOKUP(A128, WBS!A$4:B$200, 2, FALSE), "")</f>
        <v/>
      </c>
      <c r="H128" s="7">
        <f>D128*F128*G128</f>
        <v/>
      </c>
    </row>
    <row r="129">
      <c r="B129" s="6">
        <f>IFERROR(VLOOKUP(A129, WBS!A$4:B$200, 2, FALSE), "")</f>
        <v/>
      </c>
      <c r="H129" s="7">
        <f>D129*F129*G129</f>
        <v/>
      </c>
    </row>
    <row r="130">
      <c r="B130" s="6">
        <f>IFERROR(VLOOKUP(A130, WBS!A$4:B$200, 2, FALSE), "")</f>
        <v/>
      </c>
      <c r="H130" s="7">
        <f>D130*F130*G130</f>
        <v/>
      </c>
    </row>
    <row r="131">
      <c r="B131" s="6">
        <f>IFERROR(VLOOKUP(A131, WBS!A$4:B$200, 2, FALSE), "")</f>
        <v/>
      </c>
      <c r="H131" s="7">
        <f>D131*F131*G131</f>
        <v/>
      </c>
    </row>
    <row r="132">
      <c r="B132" s="6">
        <f>IFERROR(VLOOKUP(A132, WBS!A$4:B$200, 2, FALSE), "")</f>
        <v/>
      </c>
      <c r="H132" s="7">
        <f>D132*F132*G132</f>
        <v/>
      </c>
    </row>
    <row r="133">
      <c r="B133" s="6">
        <f>IFERROR(VLOOKUP(A133, WBS!A$4:B$200, 2, FALSE), "")</f>
        <v/>
      </c>
      <c r="H133" s="7">
        <f>D133*F133*G133</f>
        <v/>
      </c>
    </row>
    <row r="134">
      <c r="B134" s="6">
        <f>IFERROR(VLOOKUP(A134, WBS!A$4:B$200, 2, FALSE), "")</f>
        <v/>
      </c>
      <c r="H134" s="7">
        <f>D134*F134*G134</f>
        <v/>
      </c>
    </row>
    <row r="135">
      <c r="B135" s="6">
        <f>IFERROR(VLOOKUP(A135, WBS!A$4:B$200, 2, FALSE), "")</f>
        <v/>
      </c>
      <c r="H135" s="7">
        <f>D135*F135*G135</f>
        <v/>
      </c>
    </row>
    <row r="136">
      <c r="B136" s="6">
        <f>IFERROR(VLOOKUP(A136, WBS!A$4:B$200, 2, FALSE), "")</f>
        <v/>
      </c>
      <c r="H136" s="7">
        <f>D136*F136*G136</f>
        <v/>
      </c>
    </row>
    <row r="137">
      <c r="B137" s="6">
        <f>IFERROR(VLOOKUP(A137, WBS!A$4:B$200, 2, FALSE), "")</f>
        <v/>
      </c>
      <c r="H137" s="7">
        <f>D137*F137*G137</f>
        <v/>
      </c>
    </row>
    <row r="138">
      <c r="B138" s="6">
        <f>IFERROR(VLOOKUP(A138, WBS!A$4:B$200, 2, FALSE), "")</f>
        <v/>
      </c>
      <c r="H138" s="7">
        <f>D138*F138*G138</f>
        <v/>
      </c>
    </row>
    <row r="139">
      <c r="B139" s="6">
        <f>IFERROR(VLOOKUP(A139, WBS!A$4:B$200, 2, FALSE), "")</f>
        <v/>
      </c>
      <c r="H139" s="7">
        <f>D139*F139*G139</f>
        <v/>
      </c>
    </row>
    <row r="140">
      <c r="B140" s="6">
        <f>IFERROR(VLOOKUP(A140, WBS!A$4:B$200, 2, FALSE), "")</f>
        <v/>
      </c>
      <c r="H140" s="7">
        <f>D140*F140*G140</f>
        <v/>
      </c>
    </row>
    <row r="141">
      <c r="B141" s="6">
        <f>IFERROR(VLOOKUP(A141, WBS!A$4:B$200, 2, FALSE), "")</f>
        <v/>
      </c>
      <c r="H141" s="7">
        <f>D141*F141*G141</f>
        <v/>
      </c>
    </row>
    <row r="142">
      <c r="B142" s="6">
        <f>IFERROR(VLOOKUP(A142, WBS!A$4:B$200, 2, FALSE), "")</f>
        <v/>
      </c>
      <c r="H142" s="7">
        <f>D142*F142*G142</f>
        <v/>
      </c>
    </row>
    <row r="143">
      <c r="B143" s="6">
        <f>IFERROR(VLOOKUP(A143, WBS!A$4:B$200, 2, FALSE), "")</f>
        <v/>
      </c>
      <c r="H143" s="7">
        <f>D143*F143*G143</f>
        <v/>
      </c>
    </row>
    <row r="144">
      <c r="B144" s="6">
        <f>IFERROR(VLOOKUP(A144, WBS!A$4:B$200, 2, FALSE), "")</f>
        <v/>
      </c>
      <c r="H144" s="7">
        <f>D144*F144*G144</f>
        <v/>
      </c>
    </row>
    <row r="145">
      <c r="B145" s="6">
        <f>IFERROR(VLOOKUP(A145, WBS!A$4:B$200, 2, FALSE), "")</f>
        <v/>
      </c>
      <c r="H145" s="7">
        <f>D145*F145*G145</f>
        <v/>
      </c>
    </row>
    <row r="146">
      <c r="B146" s="6">
        <f>IFERROR(VLOOKUP(A146, WBS!A$4:B$200, 2, FALSE), "")</f>
        <v/>
      </c>
      <c r="H146" s="7">
        <f>D146*F146*G146</f>
        <v/>
      </c>
    </row>
    <row r="147">
      <c r="B147" s="6">
        <f>IFERROR(VLOOKUP(A147, WBS!A$4:B$200, 2, FALSE), "")</f>
        <v/>
      </c>
      <c r="H147" s="7">
        <f>D147*F147*G147</f>
        <v/>
      </c>
    </row>
    <row r="148">
      <c r="B148" s="6">
        <f>IFERROR(VLOOKUP(A148, WBS!A$4:B$200, 2, FALSE), "")</f>
        <v/>
      </c>
      <c r="H148" s="7">
        <f>D148*F148*G148</f>
        <v/>
      </c>
    </row>
    <row r="149">
      <c r="B149" s="6">
        <f>IFERROR(VLOOKUP(A149, WBS!A$4:B$200, 2, FALSE), "")</f>
        <v/>
      </c>
      <c r="H149" s="7">
        <f>D149*F149*G149</f>
        <v/>
      </c>
    </row>
    <row r="150">
      <c r="B150" s="6">
        <f>IFERROR(VLOOKUP(A150, WBS!A$4:B$200, 2, FALSE), "")</f>
        <v/>
      </c>
      <c r="H150" s="7">
        <f>D150*F150*G150</f>
        <v/>
      </c>
    </row>
    <row r="151">
      <c r="B151" s="6">
        <f>IFERROR(VLOOKUP(A151, WBS!A$4:B$200, 2, FALSE), "")</f>
        <v/>
      </c>
      <c r="H151" s="7">
        <f>D151*F151*G151</f>
        <v/>
      </c>
    </row>
    <row r="152">
      <c r="B152" s="6">
        <f>IFERROR(VLOOKUP(A152, WBS!A$4:B$200, 2, FALSE), "")</f>
        <v/>
      </c>
      <c r="H152" s="7">
        <f>D152*F152*G152</f>
        <v/>
      </c>
    </row>
    <row r="153">
      <c r="B153" s="6">
        <f>IFERROR(VLOOKUP(A153, WBS!A$4:B$200, 2, FALSE), "")</f>
        <v/>
      </c>
      <c r="H153" s="7">
        <f>D153*F153*G153</f>
        <v/>
      </c>
    </row>
    <row r="154">
      <c r="B154" s="6">
        <f>IFERROR(VLOOKUP(A154, WBS!A$4:B$200, 2, FALSE), "")</f>
        <v/>
      </c>
      <c r="H154" s="7">
        <f>D154*F154*G154</f>
        <v/>
      </c>
    </row>
    <row r="155">
      <c r="B155" s="6">
        <f>IFERROR(VLOOKUP(A155, WBS!A$4:B$200, 2, FALSE), "")</f>
        <v/>
      </c>
      <c r="H155" s="7">
        <f>D155*F155*G155</f>
        <v/>
      </c>
    </row>
    <row r="156">
      <c r="B156" s="6">
        <f>IFERROR(VLOOKUP(A156, WBS!A$4:B$200, 2, FALSE), "")</f>
        <v/>
      </c>
      <c r="H156" s="7">
        <f>D156*F156*G156</f>
        <v/>
      </c>
    </row>
    <row r="157">
      <c r="B157" s="6">
        <f>IFERROR(VLOOKUP(A157, WBS!A$4:B$200, 2, FALSE), "")</f>
        <v/>
      </c>
      <c r="H157" s="7">
        <f>D157*F157*G157</f>
        <v/>
      </c>
    </row>
    <row r="158">
      <c r="B158" s="6">
        <f>IFERROR(VLOOKUP(A158, WBS!A$4:B$200, 2, FALSE), "")</f>
        <v/>
      </c>
      <c r="H158" s="7">
        <f>D158*F158*G158</f>
        <v/>
      </c>
    </row>
    <row r="159">
      <c r="B159" s="6">
        <f>IFERROR(VLOOKUP(A159, WBS!A$4:B$200, 2, FALSE), "")</f>
        <v/>
      </c>
      <c r="H159" s="7">
        <f>D159*F159*G159</f>
        <v/>
      </c>
    </row>
    <row r="160">
      <c r="B160" s="6">
        <f>IFERROR(VLOOKUP(A160, WBS!A$4:B$200, 2, FALSE), "")</f>
        <v/>
      </c>
      <c r="H160" s="7">
        <f>D160*F160*G160</f>
        <v/>
      </c>
    </row>
    <row r="161">
      <c r="B161" s="6">
        <f>IFERROR(VLOOKUP(A161, WBS!A$4:B$200, 2, FALSE), "")</f>
        <v/>
      </c>
      <c r="H161" s="7">
        <f>D161*F161*G161</f>
        <v/>
      </c>
    </row>
    <row r="162">
      <c r="B162" s="6">
        <f>IFERROR(VLOOKUP(A162, WBS!A$4:B$200, 2, FALSE), "")</f>
        <v/>
      </c>
      <c r="H162" s="7">
        <f>D162*F162*G162</f>
        <v/>
      </c>
    </row>
    <row r="163">
      <c r="B163" s="6">
        <f>IFERROR(VLOOKUP(A163, WBS!A$4:B$200, 2, FALSE), "")</f>
        <v/>
      </c>
      <c r="H163" s="7">
        <f>D163*F163*G163</f>
        <v/>
      </c>
    </row>
    <row r="164">
      <c r="B164" s="6">
        <f>IFERROR(VLOOKUP(A164, WBS!A$4:B$200, 2, FALSE), "")</f>
        <v/>
      </c>
      <c r="H164" s="7">
        <f>D164*F164*G164</f>
        <v/>
      </c>
    </row>
    <row r="165">
      <c r="B165" s="6">
        <f>IFERROR(VLOOKUP(A165, WBS!A$4:B$200, 2, FALSE), "")</f>
        <v/>
      </c>
      <c r="H165" s="7">
        <f>D165*F165*G165</f>
        <v/>
      </c>
    </row>
    <row r="166">
      <c r="B166" s="6">
        <f>IFERROR(VLOOKUP(A166, WBS!A$4:B$200, 2, FALSE), "")</f>
        <v/>
      </c>
      <c r="H166" s="7">
        <f>D166*F166*G166</f>
        <v/>
      </c>
    </row>
    <row r="167">
      <c r="B167" s="6">
        <f>IFERROR(VLOOKUP(A167, WBS!A$4:B$200, 2, FALSE), "")</f>
        <v/>
      </c>
      <c r="H167" s="7">
        <f>D167*F167*G167</f>
        <v/>
      </c>
    </row>
    <row r="168">
      <c r="B168" s="6">
        <f>IFERROR(VLOOKUP(A168, WBS!A$4:B$200, 2, FALSE), "")</f>
        <v/>
      </c>
      <c r="H168" s="7">
        <f>D168*F168*G168</f>
        <v/>
      </c>
    </row>
    <row r="169">
      <c r="B169" s="6">
        <f>IFERROR(VLOOKUP(A169, WBS!A$4:B$200, 2, FALSE), "")</f>
        <v/>
      </c>
      <c r="H169" s="7">
        <f>D169*F169*G169</f>
        <v/>
      </c>
    </row>
    <row r="170">
      <c r="B170" s="6">
        <f>IFERROR(VLOOKUP(A170, WBS!A$4:B$200, 2, FALSE), "")</f>
        <v/>
      </c>
      <c r="H170" s="7">
        <f>D170*F170*G170</f>
        <v/>
      </c>
    </row>
    <row r="171">
      <c r="B171" s="6">
        <f>IFERROR(VLOOKUP(A171, WBS!A$4:B$200, 2, FALSE), "")</f>
        <v/>
      </c>
      <c r="H171" s="7">
        <f>D171*F171*G171</f>
        <v/>
      </c>
    </row>
    <row r="172">
      <c r="B172" s="6">
        <f>IFERROR(VLOOKUP(A172, WBS!A$4:B$200, 2, FALSE), "")</f>
        <v/>
      </c>
      <c r="H172" s="7">
        <f>D172*F172*G172</f>
        <v/>
      </c>
    </row>
    <row r="173">
      <c r="B173" s="6">
        <f>IFERROR(VLOOKUP(A173, WBS!A$4:B$200, 2, FALSE), "")</f>
        <v/>
      </c>
      <c r="H173" s="7">
        <f>D173*F173*G173</f>
        <v/>
      </c>
    </row>
    <row r="174">
      <c r="B174" s="6">
        <f>IFERROR(VLOOKUP(A174, WBS!A$4:B$200, 2, FALSE), "")</f>
        <v/>
      </c>
      <c r="H174" s="7">
        <f>D174*F174*G174</f>
        <v/>
      </c>
    </row>
    <row r="175">
      <c r="B175" s="6">
        <f>IFERROR(VLOOKUP(A175, WBS!A$4:B$200, 2, FALSE), "")</f>
        <v/>
      </c>
      <c r="H175" s="7">
        <f>D175*F175*G175</f>
        <v/>
      </c>
    </row>
    <row r="176">
      <c r="B176" s="6">
        <f>IFERROR(VLOOKUP(A176, WBS!A$4:B$200, 2, FALSE), "")</f>
        <v/>
      </c>
      <c r="H176" s="7">
        <f>D176*F176*G176</f>
        <v/>
      </c>
    </row>
    <row r="177">
      <c r="B177" s="6">
        <f>IFERROR(VLOOKUP(A177, WBS!A$4:B$200, 2, FALSE), "")</f>
        <v/>
      </c>
      <c r="H177" s="7">
        <f>D177*F177*G177</f>
        <v/>
      </c>
    </row>
    <row r="178">
      <c r="B178" s="6">
        <f>IFERROR(VLOOKUP(A178, WBS!A$4:B$200, 2, FALSE), "")</f>
        <v/>
      </c>
      <c r="H178" s="7">
        <f>D178*F178*G178</f>
        <v/>
      </c>
    </row>
    <row r="179">
      <c r="B179" s="6">
        <f>IFERROR(VLOOKUP(A179, WBS!A$4:B$200, 2, FALSE), "")</f>
        <v/>
      </c>
      <c r="H179" s="7">
        <f>D179*F179*G179</f>
        <v/>
      </c>
    </row>
    <row r="180">
      <c r="B180" s="6">
        <f>IFERROR(VLOOKUP(A180, WBS!A$4:B$200, 2, FALSE), "")</f>
        <v/>
      </c>
      <c r="H180" s="7">
        <f>D180*F180*G180</f>
        <v/>
      </c>
    </row>
    <row r="181">
      <c r="B181" s="6">
        <f>IFERROR(VLOOKUP(A181, WBS!A$4:B$200, 2, FALSE), "")</f>
        <v/>
      </c>
      <c r="H181" s="7">
        <f>D181*F181*G181</f>
        <v/>
      </c>
    </row>
    <row r="182">
      <c r="B182" s="6">
        <f>IFERROR(VLOOKUP(A182, WBS!A$4:B$200, 2, FALSE), "")</f>
        <v/>
      </c>
      <c r="H182" s="7">
        <f>D182*F182*G182</f>
        <v/>
      </c>
    </row>
    <row r="183">
      <c r="B183" s="6">
        <f>IFERROR(VLOOKUP(A183, WBS!A$4:B$200, 2, FALSE), "")</f>
        <v/>
      </c>
      <c r="H183" s="7">
        <f>D183*F183*G183</f>
        <v/>
      </c>
    </row>
    <row r="184">
      <c r="B184" s="6">
        <f>IFERROR(VLOOKUP(A184, WBS!A$4:B$200, 2, FALSE), "")</f>
        <v/>
      </c>
      <c r="H184" s="7">
        <f>D184*F184*G184</f>
        <v/>
      </c>
    </row>
    <row r="185">
      <c r="B185" s="6">
        <f>IFERROR(VLOOKUP(A185, WBS!A$4:B$200, 2, FALSE), "")</f>
        <v/>
      </c>
      <c r="H185" s="7">
        <f>D185*F185*G185</f>
        <v/>
      </c>
    </row>
    <row r="186">
      <c r="B186" s="6">
        <f>IFERROR(VLOOKUP(A186, WBS!A$4:B$200, 2, FALSE), "")</f>
        <v/>
      </c>
      <c r="H186" s="7">
        <f>D186*F186*G186</f>
        <v/>
      </c>
    </row>
    <row r="187">
      <c r="B187" s="6">
        <f>IFERROR(VLOOKUP(A187, WBS!A$4:B$200, 2, FALSE), "")</f>
        <v/>
      </c>
      <c r="H187" s="7">
        <f>D187*F187*G187</f>
        <v/>
      </c>
    </row>
    <row r="188">
      <c r="B188" s="6">
        <f>IFERROR(VLOOKUP(A188, WBS!A$4:B$200, 2, FALSE), "")</f>
        <v/>
      </c>
      <c r="H188" s="7">
        <f>D188*F188*G188</f>
        <v/>
      </c>
    </row>
    <row r="189">
      <c r="B189" s="6">
        <f>IFERROR(VLOOKUP(A189, WBS!A$4:B$200, 2, FALSE), "")</f>
        <v/>
      </c>
      <c r="H189" s="7">
        <f>D189*F189*G189</f>
        <v/>
      </c>
    </row>
    <row r="190">
      <c r="B190" s="6">
        <f>IFERROR(VLOOKUP(A190, WBS!A$4:B$200, 2, FALSE), "")</f>
        <v/>
      </c>
      <c r="H190" s="7">
        <f>D190*F190*G190</f>
        <v/>
      </c>
    </row>
    <row r="191">
      <c r="B191" s="6">
        <f>IFERROR(VLOOKUP(A191, WBS!A$4:B$200, 2, FALSE), "")</f>
        <v/>
      </c>
      <c r="H191" s="7">
        <f>D191*F191*G191</f>
        <v/>
      </c>
    </row>
    <row r="192">
      <c r="B192" s="6">
        <f>IFERROR(VLOOKUP(A192, WBS!A$4:B$200, 2, FALSE), "")</f>
        <v/>
      </c>
      <c r="H192" s="7">
        <f>D192*F192*G192</f>
        <v/>
      </c>
    </row>
    <row r="193">
      <c r="B193" s="6">
        <f>IFERROR(VLOOKUP(A193, WBS!A$4:B$200, 2, FALSE), "")</f>
        <v/>
      </c>
      <c r="H193" s="7">
        <f>D193*F193*G193</f>
        <v/>
      </c>
    </row>
    <row r="194">
      <c r="B194" s="6">
        <f>IFERROR(VLOOKUP(A194, WBS!A$4:B$200, 2, FALSE), "")</f>
        <v/>
      </c>
      <c r="H194" s="7">
        <f>D194*F194*G194</f>
        <v/>
      </c>
    </row>
    <row r="195">
      <c r="B195" s="6">
        <f>IFERROR(VLOOKUP(A195, WBS!A$4:B$200, 2, FALSE), "")</f>
        <v/>
      </c>
      <c r="H195" s="7">
        <f>D195*F195*G195</f>
        <v/>
      </c>
    </row>
    <row r="196">
      <c r="B196" s="6">
        <f>IFERROR(VLOOKUP(A196, WBS!A$4:B$200, 2, FALSE), "")</f>
        <v/>
      </c>
      <c r="H196" s="7">
        <f>D196*F196*G196</f>
        <v/>
      </c>
    </row>
    <row r="197">
      <c r="B197" s="6">
        <f>IFERROR(VLOOKUP(A197, WBS!A$4:B$200, 2, FALSE), "")</f>
        <v/>
      </c>
      <c r="H197" s="7">
        <f>D197*F197*G197</f>
        <v/>
      </c>
    </row>
    <row r="198">
      <c r="B198" s="6">
        <f>IFERROR(VLOOKUP(A198, WBS!A$4:B$200, 2, FALSE), "")</f>
        <v/>
      </c>
      <c r="H198" s="7">
        <f>D198*F198*G198</f>
        <v/>
      </c>
    </row>
    <row r="199">
      <c r="B199" s="6">
        <f>IFERROR(VLOOKUP(A199, WBS!A$4:B$200, 2, FALSE), "")</f>
        <v/>
      </c>
      <c r="H199" s="7">
        <f>D199*F199*G199</f>
        <v/>
      </c>
    </row>
  </sheetData>
  <dataValidations count="1">
    <dataValidation sqref="C4:C200" showDropDown="0" showInputMessage="0" showErrorMessage="0" allowBlank="1" type="list">
      <formula1>BD!$D$2:$D$60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0" customWidth="1" min="3" max="3"/>
    <col width="16" customWidth="1" min="7" max="7"/>
    <col width="22" customWidth="1" min="9" max="9"/>
  </cols>
  <sheetData>
    <row r="1">
      <c r="A1" s="1" t="inlineStr">
        <is>
          <t>PASO 3.4 — DETALLE DE SUBCONTRATOS POR PARTIDA</t>
        </is>
      </c>
    </row>
    <row r="3">
      <c r="A3" s="2" t="inlineStr">
        <is>
          <t>Partida N°</t>
        </is>
      </c>
      <c r="B3" s="2" t="inlineStr">
        <is>
          <t>Partida WBS (Automático)</t>
        </is>
      </c>
      <c r="C3" s="2" t="inlineStr">
        <is>
          <t>Concepto Subcontrato (Seleccionar)</t>
        </is>
      </c>
      <c r="D3" s="2" t="inlineStr">
        <is>
          <t>Proveedor Habitual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Precio Unitario</t>
        </is>
      </c>
      <c r="H3" s="2" t="inlineStr">
        <is>
          <t>Moneda</t>
        </is>
      </c>
      <c r="I3" s="2" t="inlineStr">
        <is>
          <t>Importe Total MXN</t>
        </is>
      </c>
    </row>
    <row r="4">
      <c r="A4" s="5" t="n">
        <v>1</v>
      </c>
      <c r="B4" s="6">
        <f>IFERROR(VLOOKUP(A4, WBS!A$4:B$200, 2, FALSE), "")</f>
        <v/>
      </c>
      <c r="C4" s="3" t="inlineStr">
        <is>
          <t>Arrendamiento de Grúa Telescópica</t>
        </is>
      </c>
      <c r="D4" t="inlineStr">
        <is>
          <t>Metalmecánica del Norte</t>
        </is>
      </c>
      <c r="E4" t="n">
        <v>1</v>
      </c>
      <c r="F4" t="inlineStr">
        <is>
          <t>SERV</t>
        </is>
      </c>
      <c r="G4" s="7" t="n">
        <v>4500</v>
      </c>
      <c r="H4" s="5" t="inlineStr">
        <is>
          <t>MXN</t>
        </is>
      </c>
      <c r="I4" s="9">
        <f>IF(H4="USD", E4*G4*PROY!B$7, E4*G4)</f>
        <v/>
      </c>
    </row>
    <row r="5">
      <c r="B5" s="6">
        <f>IFERROR(VLOOKUP(A5, WBS!A$4:B$200, 2, FALSE), "")</f>
        <v/>
      </c>
      <c r="I5" s="7">
        <f>IF(H5="USD", E5*G5*PROY!B$7, E5*G5)</f>
        <v/>
      </c>
    </row>
    <row r="6">
      <c r="B6" s="6">
        <f>IFERROR(VLOOKUP(A6, WBS!A$4:B$200, 2, FALSE), "")</f>
        <v/>
      </c>
      <c r="I6" s="7">
        <f>IF(H6="USD", E6*G6*PROY!B$7, E6*G6)</f>
        <v/>
      </c>
    </row>
    <row r="7">
      <c r="B7" s="6">
        <f>IFERROR(VLOOKUP(A7, WBS!A$4:B$200, 2, FALSE), "")</f>
        <v/>
      </c>
      <c r="I7" s="7">
        <f>IF(H7="USD", E7*G7*PROY!B$7, E7*G7)</f>
        <v/>
      </c>
    </row>
    <row r="8">
      <c r="B8" s="6">
        <f>IFERROR(VLOOKUP(A8, WBS!A$4:B$200, 2, FALSE), "")</f>
        <v/>
      </c>
      <c r="I8" s="7">
        <f>IF(H8="USD", E8*G8*PROY!B$7, E8*G8)</f>
        <v/>
      </c>
    </row>
    <row r="9">
      <c r="B9" s="6">
        <f>IFERROR(VLOOKUP(A9, WBS!A$4:B$200, 2, FALSE), "")</f>
        <v/>
      </c>
      <c r="I9" s="7">
        <f>IF(H9="USD", E9*G9*PROY!B$7, E9*G9)</f>
        <v/>
      </c>
    </row>
    <row r="10">
      <c r="B10" s="6">
        <f>IFERROR(VLOOKUP(A10, WBS!A$4:B$200, 2, FALSE), "")</f>
        <v/>
      </c>
      <c r="I10" s="7">
        <f>IF(H10="USD", E10*G10*PROY!B$7, E10*G10)</f>
        <v/>
      </c>
    </row>
    <row r="11">
      <c r="B11" s="6">
        <f>IFERROR(VLOOKUP(A11, WBS!A$4:B$200, 2, FALSE), "")</f>
        <v/>
      </c>
      <c r="I11" s="7">
        <f>IF(H11="USD", E11*G11*PROY!B$7, E11*G11)</f>
        <v/>
      </c>
    </row>
    <row r="12">
      <c r="B12" s="6">
        <f>IFERROR(VLOOKUP(A12, WBS!A$4:B$200, 2, FALSE), "")</f>
        <v/>
      </c>
      <c r="I12" s="7">
        <f>IF(H12="USD", E12*G12*PROY!B$7, E12*G12)</f>
        <v/>
      </c>
    </row>
    <row r="13">
      <c r="B13" s="6">
        <f>IFERROR(VLOOKUP(A13, WBS!A$4:B$200, 2, FALSE), "")</f>
        <v/>
      </c>
      <c r="I13" s="7">
        <f>IF(H13="USD", E13*G13*PROY!B$7, E13*G13)</f>
        <v/>
      </c>
    </row>
    <row r="14">
      <c r="B14" s="6">
        <f>IFERROR(VLOOKUP(A14, WBS!A$4:B$200, 2, FALSE), "")</f>
        <v/>
      </c>
      <c r="I14" s="7">
        <f>IF(H14="USD", E14*G14*PROY!B$7, E14*G14)</f>
        <v/>
      </c>
    </row>
    <row r="15">
      <c r="B15" s="6">
        <f>IFERROR(VLOOKUP(A15, WBS!A$4:B$200, 2, FALSE), "")</f>
        <v/>
      </c>
      <c r="I15" s="7">
        <f>IF(H15="USD", E15*G15*PROY!B$7, E15*G15)</f>
        <v/>
      </c>
    </row>
    <row r="16">
      <c r="B16" s="6">
        <f>IFERROR(VLOOKUP(A16, WBS!A$4:B$200, 2, FALSE), "")</f>
        <v/>
      </c>
      <c r="I16" s="7">
        <f>IF(H16="USD", E16*G16*PROY!B$7, E16*G16)</f>
        <v/>
      </c>
    </row>
    <row r="17">
      <c r="B17" s="6">
        <f>IFERROR(VLOOKUP(A17, WBS!A$4:B$200, 2, FALSE), "")</f>
        <v/>
      </c>
      <c r="I17" s="7">
        <f>IF(H17="USD", E17*G17*PROY!B$7, E17*G17)</f>
        <v/>
      </c>
    </row>
    <row r="18">
      <c r="B18" s="6">
        <f>IFERROR(VLOOKUP(A18, WBS!A$4:B$200, 2, FALSE), "")</f>
        <v/>
      </c>
      <c r="I18" s="7">
        <f>IF(H18="USD", E18*G18*PROY!B$7, E18*G18)</f>
        <v/>
      </c>
    </row>
    <row r="19">
      <c r="B19" s="6">
        <f>IFERROR(VLOOKUP(A19, WBS!A$4:B$200, 2, FALSE), "")</f>
        <v/>
      </c>
      <c r="I19" s="7">
        <f>IF(H19="USD", E19*G19*PROY!B$7, E19*G19)</f>
        <v/>
      </c>
    </row>
    <row r="20">
      <c r="B20" s="6">
        <f>IFERROR(VLOOKUP(A20, WBS!A$4:B$200, 2, FALSE), "")</f>
        <v/>
      </c>
      <c r="I20" s="7">
        <f>IF(H20="USD", E20*G20*PROY!B$7, E20*G20)</f>
        <v/>
      </c>
    </row>
    <row r="21">
      <c r="B21" s="6">
        <f>IFERROR(VLOOKUP(A21, WBS!A$4:B$200, 2, FALSE), "")</f>
        <v/>
      </c>
      <c r="I21" s="7">
        <f>IF(H21="USD", E21*G21*PROY!B$7, E21*G21)</f>
        <v/>
      </c>
    </row>
    <row r="22">
      <c r="B22" s="6">
        <f>IFERROR(VLOOKUP(A22, WBS!A$4:B$200, 2, FALSE), "")</f>
        <v/>
      </c>
      <c r="I22" s="7">
        <f>IF(H22="USD", E22*G22*PROY!B$7, E22*G22)</f>
        <v/>
      </c>
    </row>
    <row r="23">
      <c r="B23" s="6">
        <f>IFERROR(VLOOKUP(A23, WBS!A$4:B$200, 2, FALSE), "")</f>
        <v/>
      </c>
      <c r="I23" s="7">
        <f>IF(H23="USD", E23*G23*PROY!B$7, E23*G23)</f>
        <v/>
      </c>
    </row>
    <row r="24">
      <c r="B24" s="6">
        <f>IFERROR(VLOOKUP(A24, WBS!A$4:B$200, 2, FALSE), "")</f>
        <v/>
      </c>
      <c r="I24" s="7">
        <f>IF(H24="USD", E24*G24*PROY!B$7, E24*G24)</f>
        <v/>
      </c>
    </row>
    <row r="25">
      <c r="B25" s="6">
        <f>IFERROR(VLOOKUP(A25, WBS!A$4:B$200, 2, FALSE), "")</f>
        <v/>
      </c>
      <c r="I25" s="7">
        <f>IF(H25="USD", E25*G25*PROY!B$7, E25*G25)</f>
        <v/>
      </c>
    </row>
    <row r="26">
      <c r="B26" s="6">
        <f>IFERROR(VLOOKUP(A26, WBS!A$4:B$200, 2, FALSE), "")</f>
        <v/>
      </c>
      <c r="I26" s="7">
        <f>IF(H26="USD", E26*G26*PROY!B$7, E26*G26)</f>
        <v/>
      </c>
    </row>
    <row r="27">
      <c r="B27" s="6">
        <f>IFERROR(VLOOKUP(A27, WBS!A$4:B$200, 2, FALSE), "")</f>
        <v/>
      </c>
      <c r="I27" s="7">
        <f>IF(H27="USD", E27*G27*PROY!B$7, E27*G27)</f>
        <v/>
      </c>
    </row>
    <row r="28">
      <c r="B28" s="6">
        <f>IFERROR(VLOOKUP(A28, WBS!A$4:B$200, 2, FALSE), "")</f>
        <v/>
      </c>
      <c r="I28" s="7">
        <f>IF(H28="USD", E28*G28*PROY!B$7, E28*G28)</f>
        <v/>
      </c>
    </row>
    <row r="29">
      <c r="B29" s="6">
        <f>IFERROR(VLOOKUP(A29, WBS!A$4:B$200, 2, FALSE), "")</f>
        <v/>
      </c>
      <c r="I29" s="7">
        <f>IF(H29="USD", E29*G29*PROY!B$7, E29*G29)</f>
        <v/>
      </c>
    </row>
    <row r="30">
      <c r="B30" s="6">
        <f>IFERROR(VLOOKUP(A30, WBS!A$4:B$200, 2, FALSE), "")</f>
        <v/>
      </c>
      <c r="I30" s="7">
        <f>IF(H30="USD", E30*G30*PROY!B$7, E30*G30)</f>
        <v/>
      </c>
    </row>
    <row r="31">
      <c r="B31" s="6">
        <f>IFERROR(VLOOKUP(A31, WBS!A$4:B$200, 2, FALSE), "")</f>
        <v/>
      </c>
      <c r="I31" s="7">
        <f>IF(H31="USD", E31*G31*PROY!B$7, E31*G31)</f>
        <v/>
      </c>
    </row>
    <row r="32">
      <c r="B32" s="6">
        <f>IFERROR(VLOOKUP(A32, WBS!A$4:B$200, 2, FALSE), "")</f>
        <v/>
      </c>
      <c r="I32" s="7">
        <f>IF(H32="USD", E32*G32*PROY!B$7, E32*G32)</f>
        <v/>
      </c>
    </row>
    <row r="33">
      <c r="B33" s="6">
        <f>IFERROR(VLOOKUP(A33, WBS!A$4:B$200, 2, FALSE), "")</f>
        <v/>
      </c>
      <c r="I33" s="7">
        <f>IF(H33="USD", E33*G33*PROY!B$7, E33*G33)</f>
        <v/>
      </c>
    </row>
    <row r="34">
      <c r="B34" s="6">
        <f>IFERROR(VLOOKUP(A34, WBS!A$4:B$200, 2, FALSE), "")</f>
        <v/>
      </c>
      <c r="I34" s="7">
        <f>IF(H34="USD", E34*G34*PROY!B$7, E34*G34)</f>
        <v/>
      </c>
    </row>
    <row r="35">
      <c r="B35" s="6">
        <f>IFERROR(VLOOKUP(A35, WBS!A$4:B$200, 2, FALSE), "")</f>
        <v/>
      </c>
      <c r="I35" s="7">
        <f>IF(H35="USD", E35*G35*PROY!B$7, E35*G35)</f>
        <v/>
      </c>
    </row>
    <row r="36">
      <c r="B36" s="6">
        <f>IFERROR(VLOOKUP(A36, WBS!A$4:B$200, 2, FALSE), "")</f>
        <v/>
      </c>
      <c r="I36" s="7">
        <f>IF(H36="USD", E36*G36*PROY!B$7, E36*G36)</f>
        <v/>
      </c>
    </row>
    <row r="37">
      <c r="B37" s="6">
        <f>IFERROR(VLOOKUP(A37, WBS!A$4:B$200, 2, FALSE), "")</f>
        <v/>
      </c>
      <c r="I37" s="7">
        <f>IF(H37="USD", E37*G37*PROY!B$7, E37*G37)</f>
        <v/>
      </c>
    </row>
    <row r="38">
      <c r="B38" s="6">
        <f>IFERROR(VLOOKUP(A38, WBS!A$4:B$200, 2, FALSE), "")</f>
        <v/>
      </c>
      <c r="I38" s="7">
        <f>IF(H38="USD", E38*G38*PROY!B$7, E38*G38)</f>
        <v/>
      </c>
    </row>
    <row r="39">
      <c r="B39" s="6">
        <f>IFERROR(VLOOKUP(A39, WBS!A$4:B$200, 2, FALSE), "")</f>
        <v/>
      </c>
      <c r="I39" s="7">
        <f>IF(H39="USD", E39*G39*PROY!B$7, E39*G39)</f>
        <v/>
      </c>
    </row>
    <row r="40">
      <c r="B40" s="6">
        <f>IFERROR(VLOOKUP(A40, WBS!A$4:B$200, 2, FALSE), "")</f>
        <v/>
      </c>
      <c r="I40" s="7">
        <f>IF(H40="USD", E40*G40*PROY!B$7, E40*G40)</f>
        <v/>
      </c>
    </row>
    <row r="41">
      <c r="B41" s="6">
        <f>IFERROR(VLOOKUP(A41, WBS!A$4:B$200, 2, FALSE), "")</f>
        <v/>
      </c>
      <c r="I41" s="7">
        <f>IF(H41="USD", E41*G41*PROY!B$7, E41*G41)</f>
        <v/>
      </c>
    </row>
    <row r="42">
      <c r="B42" s="6">
        <f>IFERROR(VLOOKUP(A42, WBS!A$4:B$200, 2, FALSE), "")</f>
        <v/>
      </c>
      <c r="I42" s="7">
        <f>IF(H42="USD", E42*G42*PROY!B$7, E42*G42)</f>
        <v/>
      </c>
    </row>
    <row r="43">
      <c r="B43" s="6">
        <f>IFERROR(VLOOKUP(A43, WBS!A$4:B$200, 2, FALSE), "")</f>
        <v/>
      </c>
      <c r="I43" s="7">
        <f>IF(H43="USD", E43*G43*PROY!B$7, E43*G43)</f>
        <v/>
      </c>
    </row>
    <row r="44">
      <c r="B44" s="6">
        <f>IFERROR(VLOOKUP(A44, WBS!A$4:B$200, 2, FALSE), "")</f>
        <v/>
      </c>
      <c r="I44" s="7">
        <f>IF(H44="USD", E44*G44*PROY!B$7, E44*G44)</f>
        <v/>
      </c>
    </row>
    <row r="45">
      <c r="B45" s="6">
        <f>IFERROR(VLOOKUP(A45, WBS!A$4:B$200, 2, FALSE), "")</f>
        <v/>
      </c>
      <c r="I45" s="7">
        <f>IF(H45="USD", E45*G45*PROY!B$7, E45*G45)</f>
        <v/>
      </c>
    </row>
    <row r="46">
      <c r="B46" s="6">
        <f>IFERROR(VLOOKUP(A46, WBS!A$4:B$200, 2, FALSE), "")</f>
        <v/>
      </c>
      <c r="I46" s="7">
        <f>IF(H46="USD", E46*G46*PROY!B$7, E46*G46)</f>
        <v/>
      </c>
    </row>
    <row r="47">
      <c r="B47" s="6">
        <f>IFERROR(VLOOKUP(A47, WBS!A$4:B$200, 2, FALSE), "")</f>
        <v/>
      </c>
      <c r="I47" s="7">
        <f>IF(H47="USD", E47*G47*PROY!B$7, E47*G47)</f>
        <v/>
      </c>
    </row>
    <row r="48">
      <c r="B48" s="6">
        <f>IFERROR(VLOOKUP(A48, WBS!A$4:B$200, 2, FALSE), "")</f>
        <v/>
      </c>
      <c r="I48" s="7">
        <f>IF(H48="USD", E48*G48*PROY!B$7, E48*G48)</f>
        <v/>
      </c>
    </row>
    <row r="49">
      <c r="B49" s="6">
        <f>IFERROR(VLOOKUP(A49, WBS!A$4:B$200, 2, FALSE), "")</f>
        <v/>
      </c>
      <c r="I49" s="7">
        <f>IF(H49="USD", E49*G49*PROY!B$7, E49*G49)</f>
        <v/>
      </c>
    </row>
    <row r="50">
      <c r="B50" s="6">
        <f>IFERROR(VLOOKUP(A50, WBS!A$4:B$200, 2, FALSE), "")</f>
        <v/>
      </c>
      <c r="I50" s="7">
        <f>IF(H50="USD", E50*G50*PROY!B$7, E50*G50)</f>
        <v/>
      </c>
    </row>
    <row r="51">
      <c r="B51" s="6">
        <f>IFERROR(VLOOKUP(A51, WBS!A$4:B$200, 2, FALSE), "")</f>
        <v/>
      </c>
      <c r="I51" s="7">
        <f>IF(H51="USD", E51*G51*PROY!B$7, E51*G51)</f>
        <v/>
      </c>
    </row>
    <row r="52">
      <c r="B52" s="6">
        <f>IFERROR(VLOOKUP(A52, WBS!A$4:B$200, 2, FALSE), "")</f>
        <v/>
      </c>
      <c r="I52" s="7">
        <f>IF(H52="USD", E52*G52*PROY!B$7, E52*G52)</f>
        <v/>
      </c>
    </row>
    <row r="53">
      <c r="B53" s="6">
        <f>IFERROR(VLOOKUP(A53, WBS!A$4:B$200, 2, FALSE), "")</f>
        <v/>
      </c>
      <c r="I53" s="7">
        <f>IF(H53="USD", E53*G53*PROY!B$7, E53*G53)</f>
        <v/>
      </c>
    </row>
    <row r="54">
      <c r="B54" s="6">
        <f>IFERROR(VLOOKUP(A54, WBS!A$4:B$200, 2, FALSE), "")</f>
        <v/>
      </c>
      <c r="I54" s="7">
        <f>IF(H54="USD", E54*G54*PROY!B$7, E54*G54)</f>
        <v/>
      </c>
    </row>
    <row r="55">
      <c r="B55" s="6">
        <f>IFERROR(VLOOKUP(A55, WBS!A$4:B$200, 2, FALSE), "")</f>
        <v/>
      </c>
      <c r="I55" s="7">
        <f>IF(H55="USD", E55*G55*PROY!B$7, E55*G55)</f>
        <v/>
      </c>
    </row>
    <row r="56">
      <c r="B56" s="6">
        <f>IFERROR(VLOOKUP(A56, WBS!A$4:B$200, 2, FALSE), "")</f>
        <v/>
      </c>
      <c r="I56" s="7">
        <f>IF(H56="USD", E56*G56*PROY!B$7, E56*G56)</f>
        <v/>
      </c>
    </row>
    <row r="57">
      <c r="B57" s="6">
        <f>IFERROR(VLOOKUP(A57, WBS!A$4:B$200, 2, FALSE), "")</f>
        <v/>
      </c>
      <c r="I57" s="7">
        <f>IF(H57="USD", E57*G57*PROY!B$7, E57*G57)</f>
        <v/>
      </c>
    </row>
    <row r="58">
      <c r="B58" s="6">
        <f>IFERROR(VLOOKUP(A58, WBS!A$4:B$200, 2, FALSE), "")</f>
        <v/>
      </c>
      <c r="I58" s="7">
        <f>IF(H58="USD", E58*G58*PROY!B$7, E58*G58)</f>
        <v/>
      </c>
    </row>
    <row r="59">
      <c r="B59" s="6">
        <f>IFERROR(VLOOKUP(A59, WBS!A$4:B$200, 2, FALSE), "")</f>
        <v/>
      </c>
      <c r="I59" s="7">
        <f>IF(H59="USD", E59*G59*PROY!B$7, E59*G59)</f>
        <v/>
      </c>
    </row>
    <row r="60">
      <c r="B60" s="6">
        <f>IFERROR(VLOOKUP(A60, WBS!A$4:B$200, 2, FALSE), "")</f>
        <v/>
      </c>
      <c r="I60" s="7">
        <f>IF(H60="USD", E60*G60*PROY!B$7, E60*G60)</f>
        <v/>
      </c>
    </row>
    <row r="61">
      <c r="B61" s="6">
        <f>IFERROR(VLOOKUP(A61, WBS!A$4:B$200, 2, FALSE), "")</f>
        <v/>
      </c>
      <c r="I61" s="7">
        <f>IF(H61="USD", E61*G61*PROY!B$7, E61*G61)</f>
        <v/>
      </c>
    </row>
    <row r="62">
      <c r="B62" s="6">
        <f>IFERROR(VLOOKUP(A62, WBS!A$4:B$200, 2, FALSE), "")</f>
        <v/>
      </c>
      <c r="I62" s="7">
        <f>IF(H62="USD", E62*G62*PROY!B$7, E62*G62)</f>
        <v/>
      </c>
    </row>
    <row r="63">
      <c r="B63" s="6">
        <f>IFERROR(VLOOKUP(A63, WBS!A$4:B$200, 2, FALSE), "")</f>
        <v/>
      </c>
      <c r="I63" s="7">
        <f>IF(H63="USD", E63*G63*PROY!B$7, E63*G63)</f>
        <v/>
      </c>
    </row>
    <row r="64">
      <c r="B64" s="6">
        <f>IFERROR(VLOOKUP(A64, WBS!A$4:B$200, 2, FALSE), "")</f>
        <v/>
      </c>
      <c r="I64" s="7">
        <f>IF(H64="USD", E64*G64*PROY!B$7, E64*G64)</f>
        <v/>
      </c>
    </row>
    <row r="65">
      <c r="B65" s="6">
        <f>IFERROR(VLOOKUP(A65, WBS!A$4:B$200, 2, FALSE), "")</f>
        <v/>
      </c>
      <c r="I65" s="7">
        <f>IF(H65="USD", E65*G65*PROY!B$7, E65*G65)</f>
        <v/>
      </c>
    </row>
    <row r="66">
      <c r="B66" s="6">
        <f>IFERROR(VLOOKUP(A66, WBS!A$4:B$200, 2, FALSE), "")</f>
        <v/>
      </c>
      <c r="I66" s="7">
        <f>IF(H66="USD", E66*G66*PROY!B$7, E66*G66)</f>
        <v/>
      </c>
    </row>
    <row r="67">
      <c r="B67" s="6">
        <f>IFERROR(VLOOKUP(A67, WBS!A$4:B$200, 2, FALSE), "")</f>
        <v/>
      </c>
      <c r="I67" s="7">
        <f>IF(H67="USD", E67*G67*PROY!B$7, E67*G67)</f>
        <v/>
      </c>
    </row>
    <row r="68">
      <c r="B68" s="6">
        <f>IFERROR(VLOOKUP(A68, WBS!A$4:B$200, 2, FALSE), "")</f>
        <v/>
      </c>
      <c r="I68" s="7">
        <f>IF(H68="USD", E68*G68*PROY!B$7, E68*G68)</f>
        <v/>
      </c>
    </row>
    <row r="69">
      <c r="B69" s="6">
        <f>IFERROR(VLOOKUP(A69, WBS!A$4:B$200, 2, FALSE), "")</f>
        <v/>
      </c>
      <c r="I69" s="7">
        <f>IF(H69="USD", E69*G69*PROY!B$7, E69*G69)</f>
        <v/>
      </c>
    </row>
    <row r="70">
      <c r="B70" s="6">
        <f>IFERROR(VLOOKUP(A70, WBS!A$4:B$200, 2, FALSE), "")</f>
        <v/>
      </c>
      <c r="I70" s="7">
        <f>IF(H70="USD", E70*G70*PROY!B$7, E70*G70)</f>
        <v/>
      </c>
    </row>
    <row r="71">
      <c r="B71" s="6">
        <f>IFERROR(VLOOKUP(A71, WBS!A$4:B$200, 2, FALSE), "")</f>
        <v/>
      </c>
      <c r="I71" s="7">
        <f>IF(H71="USD", E71*G71*PROY!B$7, E71*G71)</f>
        <v/>
      </c>
    </row>
    <row r="72">
      <c r="B72" s="6">
        <f>IFERROR(VLOOKUP(A72, WBS!A$4:B$200, 2, FALSE), "")</f>
        <v/>
      </c>
      <c r="I72" s="7">
        <f>IF(H72="USD", E72*G72*PROY!B$7, E72*G72)</f>
        <v/>
      </c>
    </row>
    <row r="73">
      <c r="B73" s="6">
        <f>IFERROR(VLOOKUP(A73, WBS!A$4:B$200, 2, FALSE), "")</f>
        <v/>
      </c>
      <c r="I73" s="7">
        <f>IF(H73="USD", E73*G73*PROY!B$7, E73*G73)</f>
        <v/>
      </c>
    </row>
    <row r="74">
      <c r="B74" s="6">
        <f>IFERROR(VLOOKUP(A74, WBS!A$4:B$200, 2, FALSE), "")</f>
        <v/>
      </c>
      <c r="I74" s="7">
        <f>IF(H74="USD", E74*G74*PROY!B$7, E74*G74)</f>
        <v/>
      </c>
    </row>
    <row r="75">
      <c r="B75" s="6">
        <f>IFERROR(VLOOKUP(A75, WBS!A$4:B$200, 2, FALSE), "")</f>
        <v/>
      </c>
      <c r="I75" s="7">
        <f>IF(H75="USD", E75*G75*PROY!B$7, E75*G75)</f>
        <v/>
      </c>
    </row>
    <row r="76">
      <c r="B76" s="6">
        <f>IFERROR(VLOOKUP(A76, WBS!A$4:B$200, 2, FALSE), "")</f>
        <v/>
      </c>
      <c r="I76" s="7">
        <f>IF(H76="USD", E76*G76*PROY!B$7, E76*G76)</f>
        <v/>
      </c>
    </row>
    <row r="77">
      <c r="B77" s="6">
        <f>IFERROR(VLOOKUP(A77, WBS!A$4:B$200, 2, FALSE), "")</f>
        <v/>
      </c>
      <c r="I77" s="7">
        <f>IF(H77="USD", E77*G77*PROY!B$7, E77*G77)</f>
        <v/>
      </c>
    </row>
    <row r="78">
      <c r="B78" s="6">
        <f>IFERROR(VLOOKUP(A78, WBS!A$4:B$200, 2, FALSE), "")</f>
        <v/>
      </c>
      <c r="I78" s="7">
        <f>IF(H78="USD", E78*G78*PROY!B$7, E78*G78)</f>
        <v/>
      </c>
    </row>
    <row r="79">
      <c r="B79" s="6">
        <f>IFERROR(VLOOKUP(A79, WBS!A$4:B$200, 2, FALSE), "")</f>
        <v/>
      </c>
      <c r="I79" s="7">
        <f>IF(H79="USD", E79*G79*PROY!B$7, E79*G79)</f>
        <v/>
      </c>
    </row>
    <row r="80">
      <c r="B80" s="6">
        <f>IFERROR(VLOOKUP(A80, WBS!A$4:B$200, 2, FALSE), "")</f>
        <v/>
      </c>
      <c r="I80" s="7">
        <f>IF(H80="USD", E80*G80*PROY!B$7, E80*G80)</f>
        <v/>
      </c>
    </row>
    <row r="81">
      <c r="B81" s="6">
        <f>IFERROR(VLOOKUP(A81, WBS!A$4:B$200, 2, FALSE), "")</f>
        <v/>
      </c>
      <c r="I81" s="7">
        <f>IF(H81="USD", E81*G81*PROY!B$7, E81*G81)</f>
        <v/>
      </c>
    </row>
    <row r="82">
      <c r="B82" s="6">
        <f>IFERROR(VLOOKUP(A82, WBS!A$4:B$200, 2, FALSE), "")</f>
        <v/>
      </c>
      <c r="I82" s="7">
        <f>IF(H82="USD", E82*G82*PROY!B$7, E82*G82)</f>
        <v/>
      </c>
    </row>
    <row r="83">
      <c r="B83" s="6">
        <f>IFERROR(VLOOKUP(A83, WBS!A$4:B$200, 2, FALSE), "")</f>
        <v/>
      </c>
      <c r="I83" s="7">
        <f>IF(H83="USD", E83*G83*PROY!B$7, E83*G83)</f>
        <v/>
      </c>
    </row>
    <row r="84">
      <c r="B84" s="6">
        <f>IFERROR(VLOOKUP(A84, WBS!A$4:B$200, 2, FALSE), "")</f>
        <v/>
      </c>
      <c r="I84" s="7">
        <f>IF(H84="USD", E84*G84*PROY!B$7, E84*G84)</f>
        <v/>
      </c>
    </row>
    <row r="85">
      <c r="B85" s="6">
        <f>IFERROR(VLOOKUP(A85, WBS!A$4:B$200, 2, FALSE), "")</f>
        <v/>
      </c>
      <c r="I85" s="7">
        <f>IF(H85="USD", E85*G85*PROY!B$7, E85*G85)</f>
        <v/>
      </c>
    </row>
    <row r="86">
      <c r="B86" s="6">
        <f>IFERROR(VLOOKUP(A86, WBS!A$4:B$200, 2, FALSE), "")</f>
        <v/>
      </c>
      <c r="I86" s="7">
        <f>IF(H86="USD", E86*G86*PROY!B$7, E86*G86)</f>
        <v/>
      </c>
    </row>
    <row r="87">
      <c r="B87" s="6">
        <f>IFERROR(VLOOKUP(A87, WBS!A$4:B$200, 2, FALSE), "")</f>
        <v/>
      </c>
      <c r="I87" s="7">
        <f>IF(H87="USD", E87*G87*PROY!B$7, E87*G87)</f>
        <v/>
      </c>
    </row>
    <row r="88">
      <c r="B88" s="6">
        <f>IFERROR(VLOOKUP(A88, WBS!A$4:B$200, 2, FALSE), "")</f>
        <v/>
      </c>
      <c r="I88" s="7">
        <f>IF(H88="USD", E88*G88*PROY!B$7, E88*G88)</f>
        <v/>
      </c>
    </row>
    <row r="89">
      <c r="B89" s="6">
        <f>IFERROR(VLOOKUP(A89, WBS!A$4:B$200, 2, FALSE), "")</f>
        <v/>
      </c>
      <c r="I89" s="7">
        <f>IF(H89="USD", E89*G89*PROY!B$7, E89*G89)</f>
        <v/>
      </c>
    </row>
    <row r="90">
      <c r="B90" s="6">
        <f>IFERROR(VLOOKUP(A90, WBS!A$4:B$200, 2, FALSE), "")</f>
        <v/>
      </c>
      <c r="I90" s="7">
        <f>IF(H90="USD", E90*G90*PROY!B$7, E90*G90)</f>
        <v/>
      </c>
    </row>
    <row r="91">
      <c r="B91" s="6">
        <f>IFERROR(VLOOKUP(A91, WBS!A$4:B$200, 2, FALSE), "")</f>
        <v/>
      </c>
      <c r="I91" s="7">
        <f>IF(H91="USD", E91*G91*PROY!B$7, E91*G91)</f>
        <v/>
      </c>
    </row>
    <row r="92">
      <c r="B92" s="6">
        <f>IFERROR(VLOOKUP(A92, WBS!A$4:B$200, 2, FALSE), "")</f>
        <v/>
      </c>
      <c r="I92" s="7">
        <f>IF(H92="USD", E92*G92*PROY!B$7, E92*G92)</f>
        <v/>
      </c>
    </row>
    <row r="93">
      <c r="B93" s="6">
        <f>IFERROR(VLOOKUP(A93, WBS!A$4:B$200, 2, FALSE), "")</f>
        <v/>
      </c>
      <c r="I93" s="7">
        <f>IF(H93="USD", E93*G93*PROY!B$7, E93*G93)</f>
        <v/>
      </c>
    </row>
    <row r="94">
      <c r="B94" s="6">
        <f>IFERROR(VLOOKUP(A94, WBS!A$4:B$200, 2, FALSE), "")</f>
        <v/>
      </c>
      <c r="I94" s="7">
        <f>IF(H94="USD", E94*G94*PROY!B$7, E94*G94)</f>
        <v/>
      </c>
    </row>
    <row r="95">
      <c r="B95" s="6">
        <f>IFERROR(VLOOKUP(A95, WBS!A$4:B$200, 2, FALSE), "")</f>
        <v/>
      </c>
      <c r="I95" s="7">
        <f>IF(H95="USD", E95*G95*PROY!B$7, E95*G95)</f>
        <v/>
      </c>
    </row>
    <row r="96">
      <c r="B96" s="6">
        <f>IFERROR(VLOOKUP(A96, WBS!A$4:B$200, 2, FALSE), "")</f>
        <v/>
      </c>
      <c r="I96" s="7">
        <f>IF(H96="USD", E96*G96*PROY!B$7, E96*G96)</f>
        <v/>
      </c>
    </row>
    <row r="97">
      <c r="B97" s="6">
        <f>IFERROR(VLOOKUP(A97, WBS!A$4:B$200, 2, FALSE), "")</f>
        <v/>
      </c>
      <c r="I97" s="7">
        <f>IF(H97="USD", E97*G97*PROY!B$7, E97*G97)</f>
        <v/>
      </c>
    </row>
    <row r="98">
      <c r="B98" s="6">
        <f>IFERROR(VLOOKUP(A98, WBS!A$4:B$200, 2, FALSE), "")</f>
        <v/>
      </c>
      <c r="I98" s="7">
        <f>IF(H98="USD", E98*G98*PROY!B$7, E98*G98)</f>
        <v/>
      </c>
    </row>
    <row r="99">
      <c r="B99" s="6">
        <f>IFERROR(VLOOKUP(A99, WBS!A$4:B$200, 2, FALSE), "")</f>
        <v/>
      </c>
      <c r="I99" s="7">
        <f>IF(H99="USD", E99*G99*PROY!B$7, E99*G99)</f>
        <v/>
      </c>
    </row>
    <row r="100">
      <c r="B100" s="6">
        <f>IFERROR(VLOOKUP(A100, WBS!A$4:B$200, 2, FALSE), "")</f>
        <v/>
      </c>
      <c r="I100" s="7">
        <f>IF(H100="USD", E100*G100*PROY!B$7, E100*G100)</f>
        <v/>
      </c>
    </row>
    <row r="101">
      <c r="B101" s="6">
        <f>IFERROR(VLOOKUP(A101, WBS!A$4:B$200, 2, FALSE), "")</f>
        <v/>
      </c>
      <c r="I101" s="7">
        <f>IF(H101="USD", E101*G101*PROY!B$7, E101*G101)</f>
        <v/>
      </c>
    </row>
    <row r="102">
      <c r="B102" s="6">
        <f>IFERROR(VLOOKUP(A102, WBS!A$4:B$200, 2, FALSE), "")</f>
        <v/>
      </c>
      <c r="I102" s="7">
        <f>IF(H102="USD", E102*G102*PROY!B$7, E102*G102)</f>
        <v/>
      </c>
    </row>
    <row r="103">
      <c r="B103" s="6">
        <f>IFERROR(VLOOKUP(A103, WBS!A$4:B$200, 2, FALSE), "")</f>
        <v/>
      </c>
      <c r="I103" s="7">
        <f>IF(H103="USD", E103*G103*PROY!B$7, E103*G103)</f>
        <v/>
      </c>
    </row>
    <row r="104">
      <c r="B104" s="6">
        <f>IFERROR(VLOOKUP(A104, WBS!A$4:B$200, 2, FALSE), "")</f>
        <v/>
      </c>
      <c r="I104" s="7">
        <f>IF(H104="USD", E104*G104*PROY!B$7, E104*G104)</f>
        <v/>
      </c>
    </row>
    <row r="105">
      <c r="B105" s="6">
        <f>IFERROR(VLOOKUP(A105, WBS!A$4:B$200, 2, FALSE), "")</f>
        <v/>
      </c>
      <c r="I105" s="7">
        <f>IF(H105="USD", E105*G105*PROY!B$7, E105*G105)</f>
        <v/>
      </c>
    </row>
    <row r="106">
      <c r="B106" s="6">
        <f>IFERROR(VLOOKUP(A106, WBS!A$4:B$200, 2, FALSE), "")</f>
        <v/>
      </c>
      <c r="I106" s="7">
        <f>IF(H106="USD", E106*G106*PROY!B$7, E106*G106)</f>
        <v/>
      </c>
    </row>
    <row r="107">
      <c r="B107" s="6">
        <f>IFERROR(VLOOKUP(A107, WBS!A$4:B$200, 2, FALSE), "")</f>
        <v/>
      </c>
      <c r="I107" s="7">
        <f>IF(H107="USD", E107*G107*PROY!B$7, E107*G107)</f>
        <v/>
      </c>
    </row>
    <row r="108">
      <c r="B108" s="6">
        <f>IFERROR(VLOOKUP(A108, WBS!A$4:B$200, 2, FALSE), "")</f>
        <v/>
      </c>
      <c r="I108" s="7">
        <f>IF(H108="USD", E108*G108*PROY!B$7, E108*G108)</f>
        <v/>
      </c>
    </row>
    <row r="109">
      <c r="B109" s="6">
        <f>IFERROR(VLOOKUP(A109, WBS!A$4:B$200, 2, FALSE), "")</f>
        <v/>
      </c>
      <c r="I109" s="7">
        <f>IF(H109="USD", E109*G109*PROY!B$7, E109*G109)</f>
        <v/>
      </c>
    </row>
    <row r="110">
      <c r="B110" s="6">
        <f>IFERROR(VLOOKUP(A110, WBS!A$4:B$200, 2, FALSE), "")</f>
        <v/>
      </c>
      <c r="I110" s="7">
        <f>IF(H110="USD", E110*G110*PROY!B$7, E110*G110)</f>
        <v/>
      </c>
    </row>
    <row r="111">
      <c r="B111" s="6">
        <f>IFERROR(VLOOKUP(A111, WBS!A$4:B$200, 2, FALSE), "")</f>
        <v/>
      </c>
      <c r="I111" s="7">
        <f>IF(H111="USD", E111*G111*PROY!B$7, E111*G111)</f>
        <v/>
      </c>
    </row>
    <row r="112">
      <c r="B112" s="6">
        <f>IFERROR(VLOOKUP(A112, WBS!A$4:B$200, 2, FALSE), "")</f>
        <v/>
      </c>
      <c r="I112" s="7">
        <f>IF(H112="USD", E112*G112*PROY!B$7, E112*G112)</f>
        <v/>
      </c>
    </row>
    <row r="113">
      <c r="B113" s="6">
        <f>IFERROR(VLOOKUP(A113, WBS!A$4:B$200, 2, FALSE), "")</f>
        <v/>
      </c>
      <c r="I113" s="7">
        <f>IF(H113="USD", E113*G113*PROY!B$7, E113*G113)</f>
        <v/>
      </c>
    </row>
    <row r="114">
      <c r="B114" s="6">
        <f>IFERROR(VLOOKUP(A114, WBS!A$4:B$200, 2, FALSE), "")</f>
        <v/>
      </c>
      <c r="I114" s="7">
        <f>IF(H114="USD", E114*G114*PROY!B$7, E114*G114)</f>
        <v/>
      </c>
    </row>
    <row r="115">
      <c r="B115" s="6">
        <f>IFERROR(VLOOKUP(A115, WBS!A$4:B$200, 2, FALSE), "")</f>
        <v/>
      </c>
      <c r="I115" s="7">
        <f>IF(H115="USD", E115*G115*PROY!B$7, E115*G115)</f>
        <v/>
      </c>
    </row>
    <row r="116">
      <c r="B116" s="6">
        <f>IFERROR(VLOOKUP(A116, WBS!A$4:B$200, 2, FALSE), "")</f>
        <v/>
      </c>
      <c r="I116" s="7">
        <f>IF(H116="USD", E116*G116*PROY!B$7, E116*G116)</f>
        <v/>
      </c>
    </row>
    <row r="117">
      <c r="B117" s="6">
        <f>IFERROR(VLOOKUP(A117, WBS!A$4:B$200, 2, FALSE), "")</f>
        <v/>
      </c>
      <c r="I117" s="7">
        <f>IF(H117="USD", E117*G117*PROY!B$7, E117*G117)</f>
        <v/>
      </c>
    </row>
    <row r="118">
      <c r="B118" s="6">
        <f>IFERROR(VLOOKUP(A118, WBS!A$4:B$200, 2, FALSE), "")</f>
        <v/>
      </c>
      <c r="I118" s="7">
        <f>IF(H118="USD", E118*G118*PROY!B$7, E118*G118)</f>
        <v/>
      </c>
    </row>
    <row r="119">
      <c r="B119" s="6">
        <f>IFERROR(VLOOKUP(A119, WBS!A$4:B$200, 2, FALSE), "")</f>
        <v/>
      </c>
      <c r="I119" s="7">
        <f>IF(H119="USD", E119*G119*PROY!B$7, E119*G119)</f>
        <v/>
      </c>
    </row>
    <row r="120">
      <c r="B120" s="6">
        <f>IFERROR(VLOOKUP(A120, WBS!A$4:B$200, 2, FALSE), "")</f>
        <v/>
      </c>
      <c r="I120" s="7">
        <f>IF(H120="USD", E120*G120*PROY!B$7, E120*G120)</f>
        <v/>
      </c>
    </row>
    <row r="121">
      <c r="B121" s="6">
        <f>IFERROR(VLOOKUP(A121, WBS!A$4:B$200, 2, FALSE), "")</f>
        <v/>
      </c>
      <c r="I121" s="7">
        <f>IF(H121="USD", E121*G121*PROY!B$7, E121*G121)</f>
        <v/>
      </c>
    </row>
    <row r="122">
      <c r="B122" s="6">
        <f>IFERROR(VLOOKUP(A122, WBS!A$4:B$200, 2, FALSE), "")</f>
        <v/>
      </c>
      <c r="I122" s="7">
        <f>IF(H122="USD", E122*G122*PROY!B$7, E122*G122)</f>
        <v/>
      </c>
    </row>
    <row r="123">
      <c r="B123" s="6">
        <f>IFERROR(VLOOKUP(A123, WBS!A$4:B$200, 2, FALSE), "")</f>
        <v/>
      </c>
      <c r="I123" s="7">
        <f>IF(H123="USD", E123*G123*PROY!B$7, E123*G123)</f>
        <v/>
      </c>
    </row>
    <row r="124">
      <c r="B124" s="6">
        <f>IFERROR(VLOOKUP(A124, WBS!A$4:B$200, 2, FALSE), "")</f>
        <v/>
      </c>
      <c r="I124" s="7">
        <f>IF(H124="USD", E124*G124*PROY!B$7, E124*G124)</f>
        <v/>
      </c>
    </row>
    <row r="125">
      <c r="B125" s="6">
        <f>IFERROR(VLOOKUP(A125, WBS!A$4:B$200, 2, FALSE), "")</f>
        <v/>
      </c>
      <c r="I125" s="7">
        <f>IF(H125="USD", E125*G125*PROY!B$7, E125*G125)</f>
        <v/>
      </c>
    </row>
    <row r="126">
      <c r="B126" s="6">
        <f>IFERROR(VLOOKUP(A126, WBS!A$4:B$200, 2, FALSE), "")</f>
        <v/>
      </c>
      <c r="I126" s="7">
        <f>IF(H126="USD", E126*G126*PROY!B$7, E126*G126)</f>
        <v/>
      </c>
    </row>
    <row r="127">
      <c r="B127" s="6">
        <f>IFERROR(VLOOKUP(A127, WBS!A$4:B$200, 2, FALSE), "")</f>
        <v/>
      </c>
      <c r="I127" s="7">
        <f>IF(H127="USD", E127*G127*PROY!B$7, E127*G127)</f>
        <v/>
      </c>
    </row>
    <row r="128">
      <c r="B128" s="6">
        <f>IFERROR(VLOOKUP(A128, WBS!A$4:B$200, 2, FALSE), "")</f>
        <v/>
      </c>
      <c r="I128" s="7">
        <f>IF(H128="USD", E128*G128*PROY!B$7, E128*G128)</f>
        <v/>
      </c>
    </row>
    <row r="129">
      <c r="B129" s="6">
        <f>IFERROR(VLOOKUP(A129, WBS!A$4:B$200, 2, FALSE), "")</f>
        <v/>
      </c>
      <c r="I129" s="7">
        <f>IF(H129="USD", E129*G129*PROY!B$7, E129*G129)</f>
        <v/>
      </c>
    </row>
    <row r="130">
      <c r="B130" s="6">
        <f>IFERROR(VLOOKUP(A130, WBS!A$4:B$200, 2, FALSE), "")</f>
        <v/>
      </c>
      <c r="I130" s="7">
        <f>IF(H130="USD", E130*G130*PROY!B$7, E130*G130)</f>
        <v/>
      </c>
    </row>
    <row r="131">
      <c r="B131" s="6">
        <f>IFERROR(VLOOKUP(A131, WBS!A$4:B$200, 2, FALSE), "")</f>
        <v/>
      </c>
      <c r="I131" s="7">
        <f>IF(H131="USD", E131*G131*PROY!B$7, E131*G131)</f>
        <v/>
      </c>
    </row>
    <row r="132">
      <c r="B132" s="6">
        <f>IFERROR(VLOOKUP(A132, WBS!A$4:B$200, 2, FALSE), "")</f>
        <v/>
      </c>
      <c r="I132" s="7">
        <f>IF(H132="USD", E132*G132*PROY!B$7, E132*G132)</f>
        <v/>
      </c>
    </row>
    <row r="133">
      <c r="B133" s="6">
        <f>IFERROR(VLOOKUP(A133, WBS!A$4:B$200, 2, FALSE), "")</f>
        <v/>
      </c>
      <c r="I133" s="7">
        <f>IF(H133="USD", E133*G133*PROY!B$7, E133*G133)</f>
        <v/>
      </c>
    </row>
    <row r="134">
      <c r="B134" s="6">
        <f>IFERROR(VLOOKUP(A134, WBS!A$4:B$200, 2, FALSE), "")</f>
        <v/>
      </c>
      <c r="I134" s="7">
        <f>IF(H134="USD", E134*G134*PROY!B$7, E134*G134)</f>
        <v/>
      </c>
    </row>
    <row r="135">
      <c r="B135" s="6">
        <f>IFERROR(VLOOKUP(A135, WBS!A$4:B$200, 2, FALSE), "")</f>
        <v/>
      </c>
      <c r="I135" s="7">
        <f>IF(H135="USD", E135*G135*PROY!B$7, E135*G135)</f>
        <v/>
      </c>
    </row>
    <row r="136">
      <c r="B136" s="6">
        <f>IFERROR(VLOOKUP(A136, WBS!A$4:B$200, 2, FALSE), "")</f>
        <v/>
      </c>
      <c r="I136" s="7">
        <f>IF(H136="USD", E136*G136*PROY!B$7, E136*G136)</f>
        <v/>
      </c>
    </row>
    <row r="137">
      <c r="B137" s="6">
        <f>IFERROR(VLOOKUP(A137, WBS!A$4:B$200, 2, FALSE), "")</f>
        <v/>
      </c>
      <c r="I137" s="7">
        <f>IF(H137="USD", E137*G137*PROY!B$7, E137*G137)</f>
        <v/>
      </c>
    </row>
    <row r="138">
      <c r="B138" s="6">
        <f>IFERROR(VLOOKUP(A138, WBS!A$4:B$200, 2, FALSE), "")</f>
        <v/>
      </c>
      <c r="I138" s="7">
        <f>IF(H138="USD", E138*G138*PROY!B$7, E138*G138)</f>
        <v/>
      </c>
    </row>
    <row r="139">
      <c r="B139" s="6">
        <f>IFERROR(VLOOKUP(A139, WBS!A$4:B$200, 2, FALSE), "")</f>
        <v/>
      </c>
      <c r="I139" s="7">
        <f>IF(H139="USD", E139*G139*PROY!B$7, E139*G139)</f>
        <v/>
      </c>
    </row>
    <row r="140">
      <c r="B140" s="6">
        <f>IFERROR(VLOOKUP(A140, WBS!A$4:B$200, 2, FALSE), "")</f>
        <v/>
      </c>
      <c r="I140" s="7">
        <f>IF(H140="USD", E140*G140*PROY!B$7, E140*G140)</f>
        <v/>
      </c>
    </row>
    <row r="141">
      <c r="B141" s="6">
        <f>IFERROR(VLOOKUP(A141, WBS!A$4:B$200, 2, FALSE), "")</f>
        <v/>
      </c>
      <c r="I141" s="7">
        <f>IF(H141="USD", E141*G141*PROY!B$7, E141*G141)</f>
        <v/>
      </c>
    </row>
    <row r="142">
      <c r="B142" s="6">
        <f>IFERROR(VLOOKUP(A142, WBS!A$4:B$200, 2, FALSE), "")</f>
        <v/>
      </c>
      <c r="I142" s="7">
        <f>IF(H142="USD", E142*G142*PROY!B$7, E142*G142)</f>
        <v/>
      </c>
    </row>
    <row r="143">
      <c r="B143" s="6">
        <f>IFERROR(VLOOKUP(A143, WBS!A$4:B$200, 2, FALSE), "")</f>
        <v/>
      </c>
      <c r="I143" s="7">
        <f>IF(H143="USD", E143*G143*PROY!B$7, E143*G143)</f>
        <v/>
      </c>
    </row>
    <row r="144">
      <c r="B144" s="6">
        <f>IFERROR(VLOOKUP(A144, WBS!A$4:B$200, 2, FALSE), "")</f>
        <v/>
      </c>
      <c r="I144" s="7">
        <f>IF(H144="USD", E144*G144*PROY!B$7, E144*G144)</f>
        <v/>
      </c>
    </row>
    <row r="145">
      <c r="B145" s="6">
        <f>IFERROR(VLOOKUP(A145, WBS!A$4:B$200, 2, FALSE), "")</f>
        <v/>
      </c>
      <c r="I145" s="7">
        <f>IF(H145="USD", E145*G145*PROY!B$7, E145*G145)</f>
        <v/>
      </c>
    </row>
    <row r="146">
      <c r="B146" s="6">
        <f>IFERROR(VLOOKUP(A146, WBS!A$4:B$200, 2, FALSE), "")</f>
        <v/>
      </c>
      <c r="I146" s="7">
        <f>IF(H146="USD", E146*G146*PROY!B$7, E146*G146)</f>
        <v/>
      </c>
    </row>
    <row r="147">
      <c r="B147" s="6">
        <f>IFERROR(VLOOKUP(A147, WBS!A$4:B$200, 2, FALSE), "")</f>
        <v/>
      </c>
      <c r="I147" s="7">
        <f>IF(H147="USD", E147*G147*PROY!B$7, E147*G147)</f>
        <v/>
      </c>
    </row>
    <row r="148">
      <c r="B148" s="6">
        <f>IFERROR(VLOOKUP(A148, WBS!A$4:B$200, 2, FALSE), "")</f>
        <v/>
      </c>
      <c r="I148" s="7">
        <f>IF(H148="USD", E148*G148*PROY!B$7, E148*G148)</f>
        <v/>
      </c>
    </row>
    <row r="149">
      <c r="B149" s="6">
        <f>IFERROR(VLOOKUP(A149, WBS!A$4:B$200, 2, FALSE), "")</f>
        <v/>
      </c>
      <c r="I149" s="7">
        <f>IF(H149="USD", E149*G149*PROY!B$7, E149*G149)</f>
        <v/>
      </c>
    </row>
    <row r="150">
      <c r="B150" s="6">
        <f>IFERROR(VLOOKUP(A150, WBS!A$4:B$200, 2, FALSE), "")</f>
        <v/>
      </c>
      <c r="I150" s="7">
        <f>IF(H150="USD", E150*G150*PROY!B$7, E150*G150)</f>
        <v/>
      </c>
    </row>
    <row r="151">
      <c r="B151" s="6">
        <f>IFERROR(VLOOKUP(A151, WBS!A$4:B$200, 2, FALSE), "")</f>
        <v/>
      </c>
      <c r="I151" s="7">
        <f>IF(H151="USD", E151*G151*PROY!B$7, E151*G151)</f>
        <v/>
      </c>
    </row>
    <row r="152">
      <c r="B152" s="6">
        <f>IFERROR(VLOOKUP(A152, WBS!A$4:B$200, 2, FALSE), "")</f>
        <v/>
      </c>
      <c r="I152" s="7">
        <f>IF(H152="USD", E152*G152*PROY!B$7, E152*G152)</f>
        <v/>
      </c>
    </row>
    <row r="153">
      <c r="B153" s="6">
        <f>IFERROR(VLOOKUP(A153, WBS!A$4:B$200, 2, FALSE), "")</f>
        <v/>
      </c>
      <c r="I153" s="7">
        <f>IF(H153="USD", E153*G153*PROY!B$7, E153*G153)</f>
        <v/>
      </c>
    </row>
    <row r="154">
      <c r="B154" s="6">
        <f>IFERROR(VLOOKUP(A154, WBS!A$4:B$200, 2, FALSE), "")</f>
        <v/>
      </c>
      <c r="I154" s="7">
        <f>IF(H154="USD", E154*G154*PROY!B$7, E154*G154)</f>
        <v/>
      </c>
    </row>
    <row r="155">
      <c r="B155" s="6">
        <f>IFERROR(VLOOKUP(A155, WBS!A$4:B$200, 2, FALSE), "")</f>
        <v/>
      </c>
      <c r="I155" s="7">
        <f>IF(H155="USD", E155*G155*PROY!B$7, E155*G155)</f>
        <v/>
      </c>
    </row>
    <row r="156">
      <c r="B156" s="6">
        <f>IFERROR(VLOOKUP(A156, WBS!A$4:B$200, 2, FALSE), "")</f>
        <v/>
      </c>
      <c r="I156" s="7">
        <f>IF(H156="USD", E156*G156*PROY!B$7, E156*G156)</f>
        <v/>
      </c>
    </row>
    <row r="157">
      <c r="B157" s="6">
        <f>IFERROR(VLOOKUP(A157, WBS!A$4:B$200, 2, FALSE), "")</f>
        <v/>
      </c>
      <c r="I157" s="7">
        <f>IF(H157="USD", E157*G157*PROY!B$7, E157*G157)</f>
        <v/>
      </c>
    </row>
    <row r="158">
      <c r="B158" s="6">
        <f>IFERROR(VLOOKUP(A158, WBS!A$4:B$200, 2, FALSE), "")</f>
        <v/>
      </c>
      <c r="I158" s="7">
        <f>IF(H158="USD", E158*G158*PROY!B$7, E158*G158)</f>
        <v/>
      </c>
    </row>
    <row r="159">
      <c r="B159" s="6">
        <f>IFERROR(VLOOKUP(A159, WBS!A$4:B$200, 2, FALSE), "")</f>
        <v/>
      </c>
      <c r="I159" s="7">
        <f>IF(H159="USD", E159*G159*PROY!B$7, E159*G159)</f>
        <v/>
      </c>
    </row>
    <row r="160">
      <c r="B160" s="6">
        <f>IFERROR(VLOOKUP(A160, WBS!A$4:B$200, 2, FALSE), "")</f>
        <v/>
      </c>
      <c r="I160" s="7">
        <f>IF(H160="USD", E160*G160*PROY!B$7, E160*G160)</f>
        <v/>
      </c>
    </row>
    <row r="161">
      <c r="B161" s="6">
        <f>IFERROR(VLOOKUP(A161, WBS!A$4:B$200, 2, FALSE), "")</f>
        <v/>
      </c>
      <c r="I161" s="7">
        <f>IF(H161="USD", E161*G161*PROY!B$7, E161*G161)</f>
        <v/>
      </c>
    </row>
    <row r="162">
      <c r="B162" s="6">
        <f>IFERROR(VLOOKUP(A162, WBS!A$4:B$200, 2, FALSE), "")</f>
        <v/>
      </c>
      <c r="I162" s="7">
        <f>IF(H162="USD", E162*G162*PROY!B$7, E162*G162)</f>
        <v/>
      </c>
    </row>
    <row r="163">
      <c r="B163" s="6">
        <f>IFERROR(VLOOKUP(A163, WBS!A$4:B$200, 2, FALSE), "")</f>
        <v/>
      </c>
      <c r="I163" s="7">
        <f>IF(H163="USD", E163*G163*PROY!B$7, E163*G163)</f>
        <v/>
      </c>
    </row>
    <row r="164">
      <c r="B164" s="6">
        <f>IFERROR(VLOOKUP(A164, WBS!A$4:B$200, 2, FALSE), "")</f>
        <v/>
      </c>
      <c r="I164" s="7">
        <f>IF(H164="USD", E164*G164*PROY!B$7, E164*G164)</f>
        <v/>
      </c>
    </row>
    <row r="165">
      <c r="B165" s="6">
        <f>IFERROR(VLOOKUP(A165, WBS!A$4:B$200, 2, FALSE), "")</f>
        <v/>
      </c>
      <c r="I165" s="7">
        <f>IF(H165="USD", E165*G165*PROY!B$7, E165*G165)</f>
        <v/>
      </c>
    </row>
    <row r="166">
      <c r="B166" s="6">
        <f>IFERROR(VLOOKUP(A166, WBS!A$4:B$200, 2, FALSE), "")</f>
        <v/>
      </c>
      <c r="I166" s="7">
        <f>IF(H166="USD", E166*G166*PROY!B$7, E166*G166)</f>
        <v/>
      </c>
    </row>
    <row r="167">
      <c r="B167" s="6">
        <f>IFERROR(VLOOKUP(A167, WBS!A$4:B$200, 2, FALSE), "")</f>
        <v/>
      </c>
      <c r="I167" s="7">
        <f>IF(H167="USD", E167*G167*PROY!B$7, E167*G167)</f>
        <v/>
      </c>
    </row>
    <row r="168">
      <c r="B168" s="6">
        <f>IFERROR(VLOOKUP(A168, WBS!A$4:B$200, 2, FALSE), "")</f>
        <v/>
      </c>
      <c r="I168" s="7">
        <f>IF(H168="USD", E168*G168*PROY!B$7, E168*G168)</f>
        <v/>
      </c>
    </row>
    <row r="169">
      <c r="B169" s="6">
        <f>IFERROR(VLOOKUP(A169, WBS!A$4:B$200, 2, FALSE), "")</f>
        <v/>
      </c>
      <c r="I169" s="7">
        <f>IF(H169="USD", E169*G169*PROY!B$7, E169*G169)</f>
        <v/>
      </c>
    </row>
    <row r="170">
      <c r="B170" s="6">
        <f>IFERROR(VLOOKUP(A170, WBS!A$4:B$200, 2, FALSE), "")</f>
        <v/>
      </c>
      <c r="I170" s="7">
        <f>IF(H170="USD", E170*G170*PROY!B$7, E170*G170)</f>
        <v/>
      </c>
    </row>
    <row r="171">
      <c r="B171" s="6">
        <f>IFERROR(VLOOKUP(A171, WBS!A$4:B$200, 2, FALSE), "")</f>
        <v/>
      </c>
      <c r="I171" s="7">
        <f>IF(H171="USD", E171*G171*PROY!B$7, E171*G171)</f>
        <v/>
      </c>
    </row>
    <row r="172">
      <c r="B172" s="6">
        <f>IFERROR(VLOOKUP(A172, WBS!A$4:B$200, 2, FALSE), "")</f>
        <v/>
      </c>
      <c r="I172" s="7">
        <f>IF(H172="USD", E172*G172*PROY!B$7, E172*G172)</f>
        <v/>
      </c>
    </row>
    <row r="173">
      <c r="B173" s="6">
        <f>IFERROR(VLOOKUP(A173, WBS!A$4:B$200, 2, FALSE), "")</f>
        <v/>
      </c>
      <c r="I173" s="7">
        <f>IF(H173="USD", E173*G173*PROY!B$7, E173*G173)</f>
        <v/>
      </c>
    </row>
    <row r="174">
      <c r="B174" s="6">
        <f>IFERROR(VLOOKUP(A174, WBS!A$4:B$200, 2, FALSE), "")</f>
        <v/>
      </c>
      <c r="I174" s="7">
        <f>IF(H174="USD", E174*G174*PROY!B$7, E174*G174)</f>
        <v/>
      </c>
    </row>
    <row r="175">
      <c r="B175" s="6">
        <f>IFERROR(VLOOKUP(A175, WBS!A$4:B$200, 2, FALSE), "")</f>
        <v/>
      </c>
      <c r="I175" s="7">
        <f>IF(H175="USD", E175*G175*PROY!B$7, E175*G175)</f>
        <v/>
      </c>
    </row>
    <row r="176">
      <c r="B176" s="6">
        <f>IFERROR(VLOOKUP(A176, WBS!A$4:B$200, 2, FALSE), "")</f>
        <v/>
      </c>
      <c r="I176" s="7">
        <f>IF(H176="USD", E176*G176*PROY!B$7, E176*G176)</f>
        <v/>
      </c>
    </row>
    <row r="177">
      <c r="B177" s="6">
        <f>IFERROR(VLOOKUP(A177, WBS!A$4:B$200, 2, FALSE), "")</f>
        <v/>
      </c>
      <c r="I177" s="7">
        <f>IF(H177="USD", E177*G177*PROY!B$7, E177*G177)</f>
        <v/>
      </c>
    </row>
    <row r="178">
      <c r="B178" s="6">
        <f>IFERROR(VLOOKUP(A178, WBS!A$4:B$200, 2, FALSE), "")</f>
        <v/>
      </c>
      <c r="I178" s="7">
        <f>IF(H178="USD", E178*G178*PROY!B$7, E178*G178)</f>
        <v/>
      </c>
    </row>
    <row r="179">
      <c r="B179" s="6">
        <f>IFERROR(VLOOKUP(A179, WBS!A$4:B$200, 2, FALSE), "")</f>
        <v/>
      </c>
      <c r="I179" s="7">
        <f>IF(H179="USD", E179*G179*PROY!B$7, E179*G179)</f>
        <v/>
      </c>
    </row>
    <row r="180">
      <c r="B180" s="6">
        <f>IFERROR(VLOOKUP(A180, WBS!A$4:B$200, 2, FALSE), "")</f>
        <v/>
      </c>
      <c r="I180" s="7">
        <f>IF(H180="USD", E180*G180*PROY!B$7, E180*G180)</f>
        <v/>
      </c>
    </row>
    <row r="181">
      <c r="B181" s="6">
        <f>IFERROR(VLOOKUP(A181, WBS!A$4:B$200, 2, FALSE), "")</f>
        <v/>
      </c>
      <c r="I181" s="7">
        <f>IF(H181="USD", E181*G181*PROY!B$7, E181*G181)</f>
        <v/>
      </c>
    </row>
    <row r="182">
      <c r="B182" s="6">
        <f>IFERROR(VLOOKUP(A182, WBS!A$4:B$200, 2, FALSE), "")</f>
        <v/>
      </c>
      <c r="I182" s="7">
        <f>IF(H182="USD", E182*G182*PROY!B$7, E182*G182)</f>
        <v/>
      </c>
    </row>
    <row r="183">
      <c r="B183" s="6">
        <f>IFERROR(VLOOKUP(A183, WBS!A$4:B$200, 2, FALSE), "")</f>
        <v/>
      </c>
      <c r="I183" s="7">
        <f>IF(H183="USD", E183*G183*PROY!B$7, E183*G183)</f>
        <v/>
      </c>
    </row>
    <row r="184">
      <c r="B184" s="6">
        <f>IFERROR(VLOOKUP(A184, WBS!A$4:B$200, 2, FALSE), "")</f>
        <v/>
      </c>
      <c r="I184" s="7">
        <f>IF(H184="USD", E184*G184*PROY!B$7, E184*G184)</f>
        <v/>
      </c>
    </row>
    <row r="185">
      <c r="B185" s="6">
        <f>IFERROR(VLOOKUP(A185, WBS!A$4:B$200, 2, FALSE), "")</f>
        <v/>
      </c>
      <c r="I185" s="7">
        <f>IF(H185="USD", E185*G185*PROY!B$7, E185*G185)</f>
        <v/>
      </c>
    </row>
    <row r="186">
      <c r="B186" s="6">
        <f>IFERROR(VLOOKUP(A186, WBS!A$4:B$200, 2, FALSE), "")</f>
        <v/>
      </c>
      <c r="I186" s="7">
        <f>IF(H186="USD", E186*G186*PROY!B$7, E186*G186)</f>
        <v/>
      </c>
    </row>
    <row r="187">
      <c r="B187" s="6">
        <f>IFERROR(VLOOKUP(A187, WBS!A$4:B$200, 2, FALSE), "")</f>
        <v/>
      </c>
      <c r="I187" s="7">
        <f>IF(H187="USD", E187*G187*PROY!B$7, E187*G187)</f>
        <v/>
      </c>
    </row>
    <row r="188">
      <c r="B188" s="6">
        <f>IFERROR(VLOOKUP(A188, WBS!A$4:B$200, 2, FALSE), "")</f>
        <v/>
      </c>
      <c r="I188" s="7">
        <f>IF(H188="USD", E188*G188*PROY!B$7, E188*G188)</f>
        <v/>
      </c>
    </row>
    <row r="189">
      <c r="B189" s="6">
        <f>IFERROR(VLOOKUP(A189, WBS!A$4:B$200, 2, FALSE), "")</f>
        <v/>
      </c>
      <c r="I189" s="7">
        <f>IF(H189="USD", E189*G189*PROY!B$7, E189*G189)</f>
        <v/>
      </c>
    </row>
    <row r="190">
      <c r="B190" s="6">
        <f>IFERROR(VLOOKUP(A190, WBS!A$4:B$200, 2, FALSE), "")</f>
        <v/>
      </c>
      <c r="I190" s="7">
        <f>IF(H190="USD", E190*G190*PROY!B$7, E190*G190)</f>
        <v/>
      </c>
    </row>
    <row r="191">
      <c r="B191" s="6">
        <f>IFERROR(VLOOKUP(A191, WBS!A$4:B$200, 2, FALSE), "")</f>
        <v/>
      </c>
      <c r="I191" s="7">
        <f>IF(H191="USD", E191*G191*PROY!B$7, E191*G191)</f>
        <v/>
      </c>
    </row>
    <row r="192">
      <c r="B192" s="6">
        <f>IFERROR(VLOOKUP(A192, WBS!A$4:B$200, 2, FALSE), "")</f>
        <v/>
      </c>
      <c r="I192" s="7">
        <f>IF(H192="USD", E192*G192*PROY!B$7, E192*G192)</f>
        <v/>
      </c>
    </row>
    <row r="193">
      <c r="B193" s="6">
        <f>IFERROR(VLOOKUP(A193, WBS!A$4:B$200, 2, FALSE), "")</f>
        <v/>
      </c>
      <c r="I193" s="7">
        <f>IF(H193="USD", E193*G193*PROY!B$7, E193*G193)</f>
        <v/>
      </c>
    </row>
    <row r="194">
      <c r="B194" s="6">
        <f>IFERROR(VLOOKUP(A194, WBS!A$4:B$200, 2, FALSE), "")</f>
        <v/>
      </c>
      <c r="I194" s="7">
        <f>IF(H194="USD", E194*G194*PROY!B$7, E194*G194)</f>
        <v/>
      </c>
    </row>
    <row r="195">
      <c r="B195" s="6">
        <f>IFERROR(VLOOKUP(A195, WBS!A$4:B$200, 2, FALSE), "")</f>
        <v/>
      </c>
      <c r="I195" s="7">
        <f>IF(H195="USD", E195*G195*PROY!B$7, E195*G195)</f>
        <v/>
      </c>
    </row>
    <row r="196">
      <c r="B196" s="6">
        <f>IFERROR(VLOOKUP(A196, WBS!A$4:B$200, 2, FALSE), "")</f>
        <v/>
      </c>
      <c r="I196" s="7">
        <f>IF(H196="USD", E196*G196*PROY!B$7, E196*G196)</f>
        <v/>
      </c>
    </row>
    <row r="197">
      <c r="B197" s="6">
        <f>IFERROR(VLOOKUP(A197, WBS!A$4:B$200, 2, FALSE), "")</f>
        <v/>
      </c>
      <c r="I197" s="7">
        <f>IF(H197="USD", E197*G197*PROY!B$7, E197*G197)</f>
        <v/>
      </c>
    </row>
    <row r="198">
      <c r="B198" s="6">
        <f>IFERROR(VLOOKUP(A198, WBS!A$4:B$200, 2, FALSE), "")</f>
        <v/>
      </c>
      <c r="I198" s="7">
        <f>IF(H198="USD", E198*G198*PROY!B$7, E198*G198)</f>
        <v/>
      </c>
    </row>
    <row r="199">
      <c r="B199" s="6">
        <f>IFERROR(VLOOKUP(A199, WBS!A$4:B$200, 2, FALSE), "")</f>
        <v/>
      </c>
      <c r="I199" s="7">
        <f>IF(H199="USD", E199*G199*PROY!B$7, E199*G199)</f>
        <v/>
      </c>
    </row>
  </sheetData>
  <dataValidations count="2">
    <dataValidation sqref="C4:C200" showDropDown="0" showInputMessage="0" showErrorMessage="0" allowBlank="1" type="list">
      <formula1>BD!$E$2:$E$10</formula1>
    </dataValidation>
    <dataValidation sqref="H4:H200" showDropDown="0" showInputMessage="0" showErrorMessage="0" allowBlank="0" type="list">
      <formula1>"MXN,USD"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16" customWidth="1" min="7" max="7"/>
    <col width="22" customWidth="1" min="9" max="9"/>
  </cols>
  <sheetData>
    <row r="1">
      <c r="A1" s="1" t="inlineStr">
        <is>
          <t>PASO 3.5 — DETALLE DE MAQUINARIA Y EQUIPO POR PARTIDA</t>
        </is>
      </c>
    </row>
    <row r="3">
      <c r="A3" s="2" t="inlineStr">
        <is>
          <t>Partida N°</t>
        </is>
      </c>
      <c r="B3" s="2" t="inlineStr">
        <is>
          <t>Partida WBS (Automático)</t>
        </is>
      </c>
      <c r="C3" s="2" t="inlineStr">
        <is>
          <t>Concepto Maquinaria / Equipo</t>
        </is>
      </c>
      <c r="D3" s="2" t="inlineStr">
        <is>
          <t>Modelo / Capacidad</t>
        </is>
      </c>
      <c r="E3" s="2" t="inlineStr">
        <is>
          <t>Tiempo</t>
        </is>
      </c>
      <c r="F3" s="2" t="inlineStr">
        <is>
          <t>Unidad</t>
        </is>
      </c>
      <c r="G3" s="2" t="inlineStr">
        <is>
          <t>Costo Unitario</t>
        </is>
      </c>
      <c r="H3" s="2" t="inlineStr">
        <is>
          <t>Moneda</t>
        </is>
      </c>
      <c r="I3" s="2" t="inlineStr">
        <is>
          <t>Importe Total MXN</t>
        </is>
      </c>
    </row>
    <row r="4">
      <c r="A4" s="5" t="n">
        <v>3</v>
      </c>
      <c r="B4" s="6">
        <f>IFERROR(VLOOKUP(A4, WBS!A$4:B$200, 2, FALSE), "")</f>
        <v/>
      </c>
      <c r="C4" s="3" t="inlineStr">
        <is>
          <t>Renta de Elevador de Tijera 12m</t>
        </is>
      </c>
      <c r="D4" t="inlineStr">
        <is>
          <t>Genie GS-2632</t>
        </is>
      </c>
      <c r="E4" t="n">
        <v>5</v>
      </c>
      <c r="F4" t="inlineStr">
        <is>
          <t>DÍA</t>
        </is>
      </c>
      <c r="G4" s="7" t="n">
        <v>1200</v>
      </c>
      <c r="H4" s="5" t="inlineStr">
        <is>
          <t>MXN</t>
        </is>
      </c>
      <c r="I4" s="9">
        <f>IF(H4="USD", E4*G4*PROY!B$7, E4*G4)</f>
        <v/>
      </c>
    </row>
    <row r="5">
      <c r="B5" s="6">
        <f>IFERROR(VLOOKUP(A5, WBS!A$4:B$200, 2, FALSE), "")</f>
        <v/>
      </c>
      <c r="I5" s="7">
        <f>IF(H5="USD", E5*G5*PROY!B$7, E5*G5)</f>
        <v/>
      </c>
    </row>
    <row r="6">
      <c r="B6" s="6">
        <f>IFERROR(VLOOKUP(A6, WBS!A$4:B$200, 2, FALSE), "")</f>
        <v/>
      </c>
      <c r="I6" s="7">
        <f>IF(H6="USD", E6*G6*PROY!B$7, E6*G6)</f>
        <v/>
      </c>
    </row>
    <row r="7">
      <c r="B7" s="6">
        <f>IFERROR(VLOOKUP(A7, WBS!A$4:B$200, 2, FALSE), "")</f>
        <v/>
      </c>
      <c r="I7" s="7">
        <f>IF(H7="USD", E7*G7*PROY!B$7, E7*G7)</f>
        <v/>
      </c>
    </row>
    <row r="8">
      <c r="B8" s="6">
        <f>IFERROR(VLOOKUP(A8, WBS!A$4:B$200, 2, FALSE), "")</f>
        <v/>
      </c>
      <c r="I8" s="7">
        <f>IF(H8="USD", E8*G8*PROY!B$7, E8*G8)</f>
        <v/>
      </c>
    </row>
    <row r="9">
      <c r="B9" s="6">
        <f>IFERROR(VLOOKUP(A9, WBS!A$4:B$200, 2, FALSE), "")</f>
        <v/>
      </c>
      <c r="I9" s="7">
        <f>IF(H9="USD", E9*G9*PROY!B$7, E9*G9)</f>
        <v/>
      </c>
    </row>
    <row r="10">
      <c r="B10" s="6">
        <f>IFERROR(VLOOKUP(A10, WBS!A$4:B$200, 2, FALSE), "")</f>
        <v/>
      </c>
      <c r="I10" s="7">
        <f>IF(H10="USD", E10*G10*PROY!B$7, E10*G10)</f>
        <v/>
      </c>
    </row>
    <row r="11">
      <c r="B11" s="6">
        <f>IFERROR(VLOOKUP(A11, WBS!A$4:B$200, 2, FALSE), "")</f>
        <v/>
      </c>
      <c r="I11" s="7">
        <f>IF(H11="USD", E11*G11*PROY!B$7, E11*G11)</f>
        <v/>
      </c>
    </row>
    <row r="12">
      <c r="B12" s="6">
        <f>IFERROR(VLOOKUP(A12, WBS!A$4:B$200, 2, FALSE), "")</f>
        <v/>
      </c>
      <c r="I12" s="7">
        <f>IF(H12="USD", E12*G12*PROY!B$7, E12*G12)</f>
        <v/>
      </c>
    </row>
    <row r="13">
      <c r="B13" s="6">
        <f>IFERROR(VLOOKUP(A13, WBS!A$4:B$200, 2, FALSE), "")</f>
        <v/>
      </c>
      <c r="I13" s="7">
        <f>IF(H13="USD", E13*G13*PROY!B$7, E13*G13)</f>
        <v/>
      </c>
    </row>
    <row r="14">
      <c r="B14" s="6">
        <f>IFERROR(VLOOKUP(A14, WBS!A$4:B$200, 2, FALSE), "")</f>
        <v/>
      </c>
      <c r="I14" s="7">
        <f>IF(H14="USD", E14*G14*PROY!B$7, E14*G14)</f>
        <v/>
      </c>
    </row>
    <row r="15">
      <c r="B15" s="6">
        <f>IFERROR(VLOOKUP(A15, WBS!A$4:B$200, 2, FALSE), "")</f>
        <v/>
      </c>
      <c r="I15" s="7">
        <f>IF(H15="USD", E15*G15*PROY!B$7, E15*G15)</f>
        <v/>
      </c>
    </row>
    <row r="16">
      <c r="B16" s="6">
        <f>IFERROR(VLOOKUP(A16, WBS!A$4:B$200, 2, FALSE), "")</f>
        <v/>
      </c>
      <c r="I16" s="7">
        <f>IF(H16="USD", E16*G16*PROY!B$7, E16*G16)</f>
        <v/>
      </c>
    </row>
    <row r="17">
      <c r="B17" s="6">
        <f>IFERROR(VLOOKUP(A17, WBS!A$4:B$200, 2, FALSE), "")</f>
        <v/>
      </c>
      <c r="I17" s="7">
        <f>IF(H17="USD", E17*G17*PROY!B$7, E17*G17)</f>
        <v/>
      </c>
    </row>
    <row r="18">
      <c r="B18" s="6">
        <f>IFERROR(VLOOKUP(A18, WBS!A$4:B$200, 2, FALSE), "")</f>
        <v/>
      </c>
      <c r="I18" s="7">
        <f>IF(H18="USD", E18*G18*PROY!B$7, E18*G18)</f>
        <v/>
      </c>
    </row>
    <row r="19">
      <c r="B19" s="6">
        <f>IFERROR(VLOOKUP(A19, WBS!A$4:B$200, 2, FALSE), "")</f>
        <v/>
      </c>
      <c r="I19" s="7">
        <f>IF(H19="USD", E19*G19*PROY!B$7, E19*G19)</f>
        <v/>
      </c>
    </row>
    <row r="20">
      <c r="B20" s="6">
        <f>IFERROR(VLOOKUP(A20, WBS!A$4:B$200, 2, FALSE), "")</f>
        <v/>
      </c>
      <c r="I20" s="7">
        <f>IF(H20="USD", E20*G20*PROY!B$7, E20*G20)</f>
        <v/>
      </c>
    </row>
    <row r="21">
      <c r="B21" s="6">
        <f>IFERROR(VLOOKUP(A21, WBS!A$4:B$200, 2, FALSE), "")</f>
        <v/>
      </c>
      <c r="I21" s="7">
        <f>IF(H21="USD", E21*G21*PROY!B$7, E21*G21)</f>
        <v/>
      </c>
    </row>
    <row r="22">
      <c r="B22" s="6">
        <f>IFERROR(VLOOKUP(A22, WBS!A$4:B$200, 2, FALSE), "")</f>
        <v/>
      </c>
      <c r="I22" s="7">
        <f>IF(H22="USD", E22*G22*PROY!B$7, E22*G22)</f>
        <v/>
      </c>
    </row>
    <row r="23">
      <c r="B23" s="6">
        <f>IFERROR(VLOOKUP(A23, WBS!A$4:B$200, 2, FALSE), "")</f>
        <v/>
      </c>
      <c r="I23" s="7">
        <f>IF(H23="USD", E23*G23*PROY!B$7, E23*G23)</f>
        <v/>
      </c>
    </row>
    <row r="24">
      <c r="B24" s="6">
        <f>IFERROR(VLOOKUP(A24, WBS!A$4:B$200, 2, FALSE), "")</f>
        <v/>
      </c>
      <c r="I24" s="7">
        <f>IF(H24="USD", E24*G24*PROY!B$7, E24*G24)</f>
        <v/>
      </c>
    </row>
    <row r="25">
      <c r="B25" s="6">
        <f>IFERROR(VLOOKUP(A25, WBS!A$4:B$200, 2, FALSE), "")</f>
        <v/>
      </c>
      <c r="I25" s="7">
        <f>IF(H25="USD", E25*G25*PROY!B$7, E25*G25)</f>
        <v/>
      </c>
    </row>
    <row r="26">
      <c r="B26" s="6">
        <f>IFERROR(VLOOKUP(A26, WBS!A$4:B$200, 2, FALSE), "")</f>
        <v/>
      </c>
      <c r="I26" s="7">
        <f>IF(H26="USD", E26*G26*PROY!B$7, E26*G26)</f>
        <v/>
      </c>
    </row>
    <row r="27">
      <c r="B27" s="6">
        <f>IFERROR(VLOOKUP(A27, WBS!A$4:B$200, 2, FALSE), "")</f>
        <v/>
      </c>
      <c r="I27" s="7">
        <f>IF(H27="USD", E27*G27*PROY!B$7, E27*G27)</f>
        <v/>
      </c>
    </row>
    <row r="28">
      <c r="B28" s="6">
        <f>IFERROR(VLOOKUP(A28, WBS!A$4:B$200, 2, FALSE), "")</f>
        <v/>
      </c>
      <c r="I28" s="7">
        <f>IF(H28="USD", E28*G28*PROY!B$7, E28*G28)</f>
        <v/>
      </c>
    </row>
    <row r="29">
      <c r="B29" s="6">
        <f>IFERROR(VLOOKUP(A29, WBS!A$4:B$200, 2, FALSE), "")</f>
        <v/>
      </c>
      <c r="I29" s="7">
        <f>IF(H29="USD", E29*G29*PROY!B$7, E29*G29)</f>
        <v/>
      </c>
    </row>
    <row r="30">
      <c r="B30" s="6">
        <f>IFERROR(VLOOKUP(A30, WBS!A$4:B$200, 2, FALSE), "")</f>
        <v/>
      </c>
      <c r="I30" s="7">
        <f>IF(H30="USD", E30*G30*PROY!B$7, E30*G30)</f>
        <v/>
      </c>
    </row>
    <row r="31">
      <c r="B31" s="6">
        <f>IFERROR(VLOOKUP(A31, WBS!A$4:B$200, 2, FALSE), "")</f>
        <v/>
      </c>
      <c r="I31" s="7">
        <f>IF(H31="USD", E31*G31*PROY!B$7, E31*G31)</f>
        <v/>
      </c>
    </row>
    <row r="32">
      <c r="B32" s="6">
        <f>IFERROR(VLOOKUP(A32, WBS!A$4:B$200, 2, FALSE), "")</f>
        <v/>
      </c>
      <c r="I32" s="7">
        <f>IF(H32="USD", E32*G32*PROY!B$7, E32*G32)</f>
        <v/>
      </c>
    </row>
    <row r="33">
      <c r="B33" s="6">
        <f>IFERROR(VLOOKUP(A33, WBS!A$4:B$200, 2, FALSE), "")</f>
        <v/>
      </c>
      <c r="I33" s="7">
        <f>IF(H33="USD", E33*G33*PROY!B$7, E33*G33)</f>
        <v/>
      </c>
    </row>
    <row r="34">
      <c r="B34" s="6">
        <f>IFERROR(VLOOKUP(A34, WBS!A$4:B$200, 2, FALSE), "")</f>
        <v/>
      </c>
      <c r="I34" s="7">
        <f>IF(H34="USD", E34*G34*PROY!B$7, E34*G34)</f>
        <v/>
      </c>
    </row>
    <row r="35">
      <c r="B35" s="6">
        <f>IFERROR(VLOOKUP(A35, WBS!A$4:B$200, 2, FALSE), "")</f>
        <v/>
      </c>
      <c r="I35" s="7">
        <f>IF(H35="USD", E35*G35*PROY!B$7, E35*G35)</f>
        <v/>
      </c>
    </row>
    <row r="36">
      <c r="B36" s="6">
        <f>IFERROR(VLOOKUP(A36, WBS!A$4:B$200, 2, FALSE), "")</f>
        <v/>
      </c>
      <c r="I36" s="7">
        <f>IF(H36="USD", E36*G36*PROY!B$7, E36*G36)</f>
        <v/>
      </c>
    </row>
    <row r="37">
      <c r="B37" s="6">
        <f>IFERROR(VLOOKUP(A37, WBS!A$4:B$200, 2, FALSE), "")</f>
        <v/>
      </c>
      <c r="I37" s="7">
        <f>IF(H37="USD", E37*G37*PROY!B$7, E37*G37)</f>
        <v/>
      </c>
    </row>
    <row r="38">
      <c r="B38" s="6">
        <f>IFERROR(VLOOKUP(A38, WBS!A$4:B$200, 2, FALSE), "")</f>
        <v/>
      </c>
      <c r="I38" s="7">
        <f>IF(H38="USD", E38*G38*PROY!B$7, E38*G38)</f>
        <v/>
      </c>
    </row>
    <row r="39">
      <c r="B39" s="6">
        <f>IFERROR(VLOOKUP(A39, WBS!A$4:B$200, 2, FALSE), "")</f>
        <v/>
      </c>
      <c r="I39" s="7">
        <f>IF(H39="USD", E39*G39*PROY!B$7, E39*G39)</f>
        <v/>
      </c>
    </row>
    <row r="40">
      <c r="B40" s="6">
        <f>IFERROR(VLOOKUP(A40, WBS!A$4:B$200, 2, FALSE), "")</f>
        <v/>
      </c>
      <c r="I40" s="7">
        <f>IF(H40="USD", E40*G40*PROY!B$7, E40*G40)</f>
        <v/>
      </c>
    </row>
    <row r="41">
      <c r="B41" s="6">
        <f>IFERROR(VLOOKUP(A41, WBS!A$4:B$200, 2, FALSE), "")</f>
        <v/>
      </c>
      <c r="I41" s="7">
        <f>IF(H41="USD", E41*G41*PROY!B$7, E41*G41)</f>
        <v/>
      </c>
    </row>
    <row r="42">
      <c r="B42" s="6">
        <f>IFERROR(VLOOKUP(A42, WBS!A$4:B$200, 2, FALSE), "")</f>
        <v/>
      </c>
      <c r="I42" s="7">
        <f>IF(H42="USD", E42*G42*PROY!B$7, E42*G42)</f>
        <v/>
      </c>
    </row>
    <row r="43">
      <c r="B43" s="6">
        <f>IFERROR(VLOOKUP(A43, WBS!A$4:B$200, 2, FALSE), "")</f>
        <v/>
      </c>
      <c r="I43" s="7">
        <f>IF(H43="USD", E43*G43*PROY!B$7, E43*G43)</f>
        <v/>
      </c>
    </row>
    <row r="44">
      <c r="B44" s="6">
        <f>IFERROR(VLOOKUP(A44, WBS!A$4:B$200, 2, FALSE), "")</f>
        <v/>
      </c>
      <c r="I44" s="7">
        <f>IF(H44="USD", E44*G44*PROY!B$7, E44*G44)</f>
        <v/>
      </c>
    </row>
    <row r="45">
      <c r="B45" s="6">
        <f>IFERROR(VLOOKUP(A45, WBS!A$4:B$200, 2, FALSE), "")</f>
        <v/>
      </c>
      <c r="I45" s="7">
        <f>IF(H45="USD", E45*G45*PROY!B$7, E45*G45)</f>
        <v/>
      </c>
    </row>
    <row r="46">
      <c r="B46" s="6">
        <f>IFERROR(VLOOKUP(A46, WBS!A$4:B$200, 2, FALSE), "")</f>
        <v/>
      </c>
      <c r="I46" s="7">
        <f>IF(H46="USD", E46*G46*PROY!B$7, E46*G46)</f>
        <v/>
      </c>
    </row>
    <row r="47">
      <c r="B47" s="6">
        <f>IFERROR(VLOOKUP(A47, WBS!A$4:B$200, 2, FALSE), "")</f>
        <v/>
      </c>
      <c r="I47" s="7">
        <f>IF(H47="USD", E47*G47*PROY!B$7, E47*G47)</f>
        <v/>
      </c>
    </row>
    <row r="48">
      <c r="B48" s="6">
        <f>IFERROR(VLOOKUP(A48, WBS!A$4:B$200, 2, FALSE), "")</f>
        <v/>
      </c>
      <c r="I48" s="7">
        <f>IF(H48="USD", E48*G48*PROY!B$7, E48*G48)</f>
        <v/>
      </c>
    </row>
    <row r="49">
      <c r="B49" s="6">
        <f>IFERROR(VLOOKUP(A49, WBS!A$4:B$200, 2, FALSE), "")</f>
        <v/>
      </c>
      <c r="I49" s="7">
        <f>IF(H49="USD", E49*G49*PROY!B$7, E49*G49)</f>
        <v/>
      </c>
    </row>
    <row r="50">
      <c r="B50" s="6">
        <f>IFERROR(VLOOKUP(A50, WBS!A$4:B$200, 2, FALSE), "")</f>
        <v/>
      </c>
      <c r="I50" s="7">
        <f>IF(H50="USD", E50*G50*PROY!B$7, E50*G50)</f>
        <v/>
      </c>
    </row>
    <row r="51">
      <c r="B51" s="6">
        <f>IFERROR(VLOOKUP(A51, WBS!A$4:B$200, 2, FALSE), "")</f>
        <v/>
      </c>
      <c r="I51" s="7">
        <f>IF(H51="USD", E51*G51*PROY!B$7, E51*G51)</f>
        <v/>
      </c>
    </row>
    <row r="52">
      <c r="B52" s="6">
        <f>IFERROR(VLOOKUP(A52, WBS!A$4:B$200, 2, FALSE), "")</f>
        <v/>
      </c>
      <c r="I52" s="7">
        <f>IF(H52="USD", E52*G52*PROY!B$7, E52*G52)</f>
        <v/>
      </c>
    </row>
    <row r="53">
      <c r="B53" s="6">
        <f>IFERROR(VLOOKUP(A53, WBS!A$4:B$200, 2, FALSE), "")</f>
        <v/>
      </c>
      <c r="I53" s="7">
        <f>IF(H53="USD", E53*G53*PROY!B$7, E53*G53)</f>
        <v/>
      </c>
    </row>
    <row r="54">
      <c r="B54" s="6">
        <f>IFERROR(VLOOKUP(A54, WBS!A$4:B$200, 2, FALSE), "")</f>
        <v/>
      </c>
      <c r="I54" s="7">
        <f>IF(H54="USD", E54*G54*PROY!B$7, E54*G54)</f>
        <v/>
      </c>
    </row>
    <row r="55">
      <c r="B55" s="6">
        <f>IFERROR(VLOOKUP(A55, WBS!A$4:B$200, 2, FALSE), "")</f>
        <v/>
      </c>
      <c r="I55" s="7">
        <f>IF(H55="USD", E55*G55*PROY!B$7, E55*G55)</f>
        <v/>
      </c>
    </row>
    <row r="56">
      <c r="B56" s="6">
        <f>IFERROR(VLOOKUP(A56, WBS!A$4:B$200, 2, FALSE), "")</f>
        <v/>
      </c>
      <c r="I56" s="7">
        <f>IF(H56="USD", E56*G56*PROY!B$7, E56*G56)</f>
        <v/>
      </c>
    </row>
    <row r="57">
      <c r="B57" s="6">
        <f>IFERROR(VLOOKUP(A57, WBS!A$4:B$200, 2, FALSE), "")</f>
        <v/>
      </c>
      <c r="I57" s="7">
        <f>IF(H57="USD", E57*G57*PROY!B$7, E57*G57)</f>
        <v/>
      </c>
    </row>
    <row r="58">
      <c r="B58" s="6">
        <f>IFERROR(VLOOKUP(A58, WBS!A$4:B$200, 2, FALSE), "")</f>
        <v/>
      </c>
      <c r="I58" s="7">
        <f>IF(H58="USD", E58*G58*PROY!B$7, E58*G58)</f>
        <v/>
      </c>
    </row>
    <row r="59">
      <c r="B59" s="6">
        <f>IFERROR(VLOOKUP(A59, WBS!A$4:B$200, 2, FALSE), "")</f>
        <v/>
      </c>
      <c r="I59" s="7">
        <f>IF(H59="USD", E59*G59*PROY!B$7, E59*G59)</f>
        <v/>
      </c>
    </row>
    <row r="60">
      <c r="B60" s="6">
        <f>IFERROR(VLOOKUP(A60, WBS!A$4:B$200, 2, FALSE), "")</f>
        <v/>
      </c>
      <c r="I60" s="7">
        <f>IF(H60="USD", E60*G60*PROY!B$7, E60*G60)</f>
        <v/>
      </c>
    </row>
    <row r="61">
      <c r="B61" s="6">
        <f>IFERROR(VLOOKUP(A61, WBS!A$4:B$200, 2, FALSE), "")</f>
        <v/>
      </c>
      <c r="I61" s="7">
        <f>IF(H61="USD", E61*G61*PROY!B$7, E61*G61)</f>
        <v/>
      </c>
    </row>
    <row r="62">
      <c r="B62" s="6">
        <f>IFERROR(VLOOKUP(A62, WBS!A$4:B$200, 2, FALSE), "")</f>
        <v/>
      </c>
      <c r="I62" s="7">
        <f>IF(H62="USD", E62*G62*PROY!B$7, E62*G62)</f>
        <v/>
      </c>
    </row>
    <row r="63">
      <c r="B63" s="6">
        <f>IFERROR(VLOOKUP(A63, WBS!A$4:B$200, 2, FALSE), "")</f>
        <v/>
      </c>
      <c r="I63" s="7">
        <f>IF(H63="USD", E63*G63*PROY!B$7, E63*G63)</f>
        <v/>
      </c>
    </row>
    <row r="64">
      <c r="B64" s="6">
        <f>IFERROR(VLOOKUP(A64, WBS!A$4:B$200, 2, FALSE), "")</f>
        <v/>
      </c>
      <c r="I64" s="7">
        <f>IF(H64="USD", E64*G64*PROY!B$7, E64*G64)</f>
        <v/>
      </c>
    </row>
    <row r="65">
      <c r="B65" s="6">
        <f>IFERROR(VLOOKUP(A65, WBS!A$4:B$200, 2, FALSE), "")</f>
        <v/>
      </c>
      <c r="I65" s="7">
        <f>IF(H65="USD", E65*G65*PROY!B$7, E65*G65)</f>
        <v/>
      </c>
    </row>
    <row r="66">
      <c r="B66" s="6">
        <f>IFERROR(VLOOKUP(A66, WBS!A$4:B$200, 2, FALSE), "")</f>
        <v/>
      </c>
      <c r="I66" s="7">
        <f>IF(H66="USD", E66*G66*PROY!B$7, E66*G66)</f>
        <v/>
      </c>
    </row>
    <row r="67">
      <c r="B67" s="6">
        <f>IFERROR(VLOOKUP(A67, WBS!A$4:B$200, 2, FALSE), "")</f>
        <v/>
      </c>
      <c r="I67" s="7">
        <f>IF(H67="USD", E67*G67*PROY!B$7, E67*G67)</f>
        <v/>
      </c>
    </row>
    <row r="68">
      <c r="B68" s="6">
        <f>IFERROR(VLOOKUP(A68, WBS!A$4:B$200, 2, FALSE), "")</f>
        <v/>
      </c>
      <c r="I68" s="7">
        <f>IF(H68="USD", E68*G68*PROY!B$7, E68*G68)</f>
        <v/>
      </c>
    </row>
    <row r="69">
      <c r="B69" s="6">
        <f>IFERROR(VLOOKUP(A69, WBS!A$4:B$200, 2, FALSE), "")</f>
        <v/>
      </c>
      <c r="I69" s="7">
        <f>IF(H69="USD", E69*G69*PROY!B$7, E69*G69)</f>
        <v/>
      </c>
    </row>
    <row r="70">
      <c r="B70" s="6">
        <f>IFERROR(VLOOKUP(A70, WBS!A$4:B$200, 2, FALSE), "")</f>
        <v/>
      </c>
      <c r="I70" s="7">
        <f>IF(H70="USD", E70*G70*PROY!B$7, E70*G70)</f>
        <v/>
      </c>
    </row>
    <row r="71">
      <c r="B71" s="6">
        <f>IFERROR(VLOOKUP(A71, WBS!A$4:B$200, 2, FALSE), "")</f>
        <v/>
      </c>
      <c r="I71" s="7">
        <f>IF(H71="USD", E71*G71*PROY!B$7, E71*G71)</f>
        <v/>
      </c>
    </row>
    <row r="72">
      <c r="B72" s="6">
        <f>IFERROR(VLOOKUP(A72, WBS!A$4:B$200, 2, FALSE), "")</f>
        <v/>
      </c>
      <c r="I72" s="7">
        <f>IF(H72="USD", E72*G72*PROY!B$7, E72*G72)</f>
        <v/>
      </c>
    </row>
    <row r="73">
      <c r="B73" s="6">
        <f>IFERROR(VLOOKUP(A73, WBS!A$4:B$200, 2, FALSE), "")</f>
        <v/>
      </c>
      <c r="I73" s="7">
        <f>IF(H73="USD", E73*G73*PROY!B$7, E73*G73)</f>
        <v/>
      </c>
    </row>
    <row r="74">
      <c r="B74" s="6">
        <f>IFERROR(VLOOKUP(A74, WBS!A$4:B$200, 2, FALSE), "")</f>
        <v/>
      </c>
      <c r="I74" s="7">
        <f>IF(H74="USD", E74*G74*PROY!B$7, E74*G74)</f>
        <v/>
      </c>
    </row>
    <row r="75">
      <c r="B75" s="6">
        <f>IFERROR(VLOOKUP(A75, WBS!A$4:B$200, 2, FALSE), "")</f>
        <v/>
      </c>
      <c r="I75" s="7">
        <f>IF(H75="USD", E75*G75*PROY!B$7, E75*G75)</f>
        <v/>
      </c>
    </row>
    <row r="76">
      <c r="B76" s="6">
        <f>IFERROR(VLOOKUP(A76, WBS!A$4:B$200, 2, FALSE), "")</f>
        <v/>
      </c>
      <c r="I76" s="7">
        <f>IF(H76="USD", E76*G76*PROY!B$7, E76*G76)</f>
        <v/>
      </c>
    </row>
    <row r="77">
      <c r="B77" s="6">
        <f>IFERROR(VLOOKUP(A77, WBS!A$4:B$200, 2, FALSE), "")</f>
        <v/>
      </c>
      <c r="I77" s="7">
        <f>IF(H77="USD", E77*G77*PROY!B$7, E77*G77)</f>
        <v/>
      </c>
    </row>
    <row r="78">
      <c r="B78" s="6">
        <f>IFERROR(VLOOKUP(A78, WBS!A$4:B$200, 2, FALSE), "")</f>
        <v/>
      </c>
      <c r="I78" s="7">
        <f>IF(H78="USD", E78*G78*PROY!B$7, E78*G78)</f>
        <v/>
      </c>
    </row>
    <row r="79">
      <c r="B79" s="6">
        <f>IFERROR(VLOOKUP(A79, WBS!A$4:B$200, 2, FALSE), "")</f>
        <v/>
      </c>
      <c r="I79" s="7">
        <f>IF(H79="USD", E79*G79*PROY!B$7, E79*G79)</f>
        <v/>
      </c>
    </row>
    <row r="80">
      <c r="B80" s="6">
        <f>IFERROR(VLOOKUP(A80, WBS!A$4:B$200, 2, FALSE), "")</f>
        <v/>
      </c>
      <c r="I80" s="7">
        <f>IF(H80="USD", E80*G80*PROY!B$7, E80*G80)</f>
        <v/>
      </c>
    </row>
    <row r="81">
      <c r="B81" s="6">
        <f>IFERROR(VLOOKUP(A81, WBS!A$4:B$200, 2, FALSE), "")</f>
        <v/>
      </c>
      <c r="I81" s="7">
        <f>IF(H81="USD", E81*G81*PROY!B$7, E81*G81)</f>
        <v/>
      </c>
    </row>
    <row r="82">
      <c r="B82" s="6">
        <f>IFERROR(VLOOKUP(A82, WBS!A$4:B$200, 2, FALSE), "")</f>
        <v/>
      </c>
      <c r="I82" s="7">
        <f>IF(H82="USD", E82*G82*PROY!B$7, E82*G82)</f>
        <v/>
      </c>
    </row>
    <row r="83">
      <c r="B83" s="6">
        <f>IFERROR(VLOOKUP(A83, WBS!A$4:B$200, 2, FALSE), "")</f>
        <v/>
      </c>
      <c r="I83" s="7">
        <f>IF(H83="USD", E83*G83*PROY!B$7, E83*G83)</f>
        <v/>
      </c>
    </row>
    <row r="84">
      <c r="B84" s="6">
        <f>IFERROR(VLOOKUP(A84, WBS!A$4:B$200, 2, FALSE), "")</f>
        <v/>
      </c>
      <c r="I84" s="7">
        <f>IF(H84="USD", E84*G84*PROY!B$7, E84*G84)</f>
        <v/>
      </c>
    </row>
    <row r="85">
      <c r="B85" s="6">
        <f>IFERROR(VLOOKUP(A85, WBS!A$4:B$200, 2, FALSE), "")</f>
        <v/>
      </c>
      <c r="I85" s="7">
        <f>IF(H85="USD", E85*G85*PROY!B$7, E85*G85)</f>
        <v/>
      </c>
    </row>
    <row r="86">
      <c r="B86" s="6">
        <f>IFERROR(VLOOKUP(A86, WBS!A$4:B$200, 2, FALSE), "")</f>
        <v/>
      </c>
      <c r="I86" s="7">
        <f>IF(H86="USD", E86*G86*PROY!B$7, E86*G86)</f>
        <v/>
      </c>
    </row>
    <row r="87">
      <c r="B87" s="6">
        <f>IFERROR(VLOOKUP(A87, WBS!A$4:B$200, 2, FALSE), "")</f>
        <v/>
      </c>
      <c r="I87" s="7">
        <f>IF(H87="USD", E87*G87*PROY!B$7, E87*G87)</f>
        <v/>
      </c>
    </row>
    <row r="88">
      <c r="B88" s="6">
        <f>IFERROR(VLOOKUP(A88, WBS!A$4:B$200, 2, FALSE), "")</f>
        <v/>
      </c>
      <c r="I88" s="7">
        <f>IF(H88="USD", E88*G88*PROY!B$7, E88*G88)</f>
        <v/>
      </c>
    </row>
    <row r="89">
      <c r="B89" s="6">
        <f>IFERROR(VLOOKUP(A89, WBS!A$4:B$200, 2, FALSE), "")</f>
        <v/>
      </c>
      <c r="I89" s="7">
        <f>IF(H89="USD", E89*G89*PROY!B$7, E89*G89)</f>
        <v/>
      </c>
    </row>
    <row r="90">
      <c r="B90" s="6">
        <f>IFERROR(VLOOKUP(A90, WBS!A$4:B$200, 2, FALSE), "")</f>
        <v/>
      </c>
      <c r="I90" s="7">
        <f>IF(H90="USD", E90*G90*PROY!B$7, E90*G90)</f>
        <v/>
      </c>
    </row>
    <row r="91">
      <c r="B91" s="6">
        <f>IFERROR(VLOOKUP(A91, WBS!A$4:B$200, 2, FALSE), "")</f>
        <v/>
      </c>
      <c r="I91" s="7">
        <f>IF(H91="USD", E91*G91*PROY!B$7, E91*G91)</f>
        <v/>
      </c>
    </row>
    <row r="92">
      <c r="B92" s="6">
        <f>IFERROR(VLOOKUP(A92, WBS!A$4:B$200, 2, FALSE), "")</f>
        <v/>
      </c>
      <c r="I92" s="7">
        <f>IF(H92="USD", E92*G92*PROY!B$7, E92*G92)</f>
        <v/>
      </c>
    </row>
    <row r="93">
      <c r="B93" s="6">
        <f>IFERROR(VLOOKUP(A93, WBS!A$4:B$200, 2, FALSE), "")</f>
        <v/>
      </c>
      <c r="I93" s="7">
        <f>IF(H93="USD", E93*G93*PROY!B$7, E93*G93)</f>
        <v/>
      </c>
    </row>
    <row r="94">
      <c r="B94" s="6">
        <f>IFERROR(VLOOKUP(A94, WBS!A$4:B$200, 2, FALSE), "")</f>
        <v/>
      </c>
      <c r="I94" s="7">
        <f>IF(H94="USD", E94*G94*PROY!B$7, E94*G94)</f>
        <v/>
      </c>
    </row>
    <row r="95">
      <c r="B95" s="6">
        <f>IFERROR(VLOOKUP(A95, WBS!A$4:B$200, 2, FALSE), "")</f>
        <v/>
      </c>
      <c r="I95" s="7">
        <f>IF(H95="USD", E95*G95*PROY!B$7, E95*G95)</f>
        <v/>
      </c>
    </row>
    <row r="96">
      <c r="B96" s="6">
        <f>IFERROR(VLOOKUP(A96, WBS!A$4:B$200, 2, FALSE), "")</f>
        <v/>
      </c>
      <c r="I96" s="7">
        <f>IF(H96="USD", E96*G96*PROY!B$7, E96*G96)</f>
        <v/>
      </c>
    </row>
    <row r="97">
      <c r="B97" s="6">
        <f>IFERROR(VLOOKUP(A97, WBS!A$4:B$200, 2, FALSE), "")</f>
        <v/>
      </c>
      <c r="I97" s="7">
        <f>IF(H97="USD", E97*G97*PROY!B$7, E97*G97)</f>
        <v/>
      </c>
    </row>
    <row r="98">
      <c r="B98" s="6">
        <f>IFERROR(VLOOKUP(A98, WBS!A$4:B$200, 2, FALSE), "")</f>
        <v/>
      </c>
      <c r="I98" s="7">
        <f>IF(H98="USD", E98*G98*PROY!B$7, E98*G98)</f>
        <v/>
      </c>
    </row>
    <row r="99">
      <c r="B99" s="6">
        <f>IFERROR(VLOOKUP(A99, WBS!A$4:B$200, 2, FALSE), "")</f>
        <v/>
      </c>
      <c r="I99" s="7">
        <f>IF(H99="USD", E99*G99*PROY!B$7, E99*G99)</f>
        <v/>
      </c>
    </row>
    <row r="100">
      <c r="B100" s="6">
        <f>IFERROR(VLOOKUP(A100, WBS!A$4:B$200, 2, FALSE), "")</f>
        <v/>
      </c>
      <c r="I100" s="7">
        <f>IF(H100="USD", E100*G100*PROY!B$7, E100*G100)</f>
        <v/>
      </c>
    </row>
    <row r="101">
      <c r="B101" s="6">
        <f>IFERROR(VLOOKUP(A101, WBS!A$4:B$200, 2, FALSE), "")</f>
        <v/>
      </c>
      <c r="I101" s="7">
        <f>IF(H101="USD", E101*G101*PROY!B$7, E101*G101)</f>
        <v/>
      </c>
    </row>
    <row r="102">
      <c r="B102" s="6">
        <f>IFERROR(VLOOKUP(A102, WBS!A$4:B$200, 2, FALSE), "")</f>
        <v/>
      </c>
      <c r="I102" s="7">
        <f>IF(H102="USD", E102*G102*PROY!B$7, E102*G102)</f>
        <v/>
      </c>
    </row>
    <row r="103">
      <c r="B103" s="6">
        <f>IFERROR(VLOOKUP(A103, WBS!A$4:B$200, 2, FALSE), "")</f>
        <v/>
      </c>
      <c r="I103" s="7">
        <f>IF(H103="USD", E103*G103*PROY!B$7, E103*G103)</f>
        <v/>
      </c>
    </row>
    <row r="104">
      <c r="B104" s="6">
        <f>IFERROR(VLOOKUP(A104, WBS!A$4:B$200, 2, FALSE), "")</f>
        <v/>
      </c>
      <c r="I104" s="7">
        <f>IF(H104="USD", E104*G104*PROY!B$7, E104*G104)</f>
        <v/>
      </c>
    </row>
    <row r="105">
      <c r="B105" s="6">
        <f>IFERROR(VLOOKUP(A105, WBS!A$4:B$200, 2, FALSE), "")</f>
        <v/>
      </c>
      <c r="I105" s="7">
        <f>IF(H105="USD", E105*G105*PROY!B$7, E105*G105)</f>
        <v/>
      </c>
    </row>
    <row r="106">
      <c r="B106" s="6">
        <f>IFERROR(VLOOKUP(A106, WBS!A$4:B$200, 2, FALSE), "")</f>
        <v/>
      </c>
      <c r="I106" s="7">
        <f>IF(H106="USD", E106*G106*PROY!B$7, E106*G106)</f>
        <v/>
      </c>
    </row>
    <row r="107">
      <c r="B107" s="6">
        <f>IFERROR(VLOOKUP(A107, WBS!A$4:B$200, 2, FALSE), "")</f>
        <v/>
      </c>
      <c r="I107" s="7">
        <f>IF(H107="USD", E107*G107*PROY!B$7, E107*G107)</f>
        <v/>
      </c>
    </row>
    <row r="108">
      <c r="B108" s="6">
        <f>IFERROR(VLOOKUP(A108, WBS!A$4:B$200, 2, FALSE), "")</f>
        <v/>
      </c>
      <c r="I108" s="7">
        <f>IF(H108="USD", E108*G108*PROY!B$7, E108*G108)</f>
        <v/>
      </c>
    </row>
    <row r="109">
      <c r="B109" s="6">
        <f>IFERROR(VLOOKUP(A109, WBS!A$4:B$200, 2, FALSE), "")</f>
        <v/>
      </c>
      <c r="I109" s="7">
        <f>IF(H109="USD", E109*G109*PROY!B$7, E109*G109)</f>
        <v/>
      </c>
    </row>
    <row r="110">
      <c r="B110" s="6">
        <f>IFERROR(VLOOKUP(A110, WBS!A$4:B$200, 2, FALSE), "")</f>
        <v/>
      </c>
      <c r="I110" s="7">
        <f>IF(H110="USD", E110*G110*PROY!B$7, E110*G110)</f>
        <v/>
      </c>
    </row>
    <row r="111">
      <c r="B111" s="6">
        <f>IFERROR(VLOOKUP(A111, WBS!A$4:B$200, 2, FALSE), "")</f>
        <v/>
      </c>
      <c r="I111" s="7">
        <f>IF(H111="USD", E111*G111*PROY!B$7, E111*G111)</f>
        <v/>
      </c>
    </row>
    <row r="112">
      <c r="B112" s="6">
        <f>IFERROR(VLOOKUP(A112, WBS!A$4:B$200, 2, FALSE), "")</f>
        <v/>
      </c>
      <c r="I112" s="7">
        <f>IF(H112="USD", E112*G112*PROY!B$7, E112*G112)</f>
        <v/>
      </c>
    </row>
    <row r="113">
      <c r="B113" s="6">
        <f>IFERROR(VLOOKUP(A113, WBS!A$4:B$200, 2, FALSE), "")</f>
        <v/>
      </c>
      <c r="I113" s="7">
        <f>IF(H113="USD", E113*G113*PROY!B$7, E113*G113)</f>
        <v/>
      </c>
    </row>
    <row r="114">
      <c r="B114" s="6">
        <f>IFERROR(VLOOKUP(A114, WBS!A$4:B$200, 2, FALSE), "")</f>
        <v/>
      </c>
      <c r="I114" s="7">
        <f>IF(H114="USD", E114*G114*PROY!B$7, E114*G114)</f>
        <v/>
      </c>
    </row>
    <row r="115">
      <c r="B115" s="6">
        <f>IFERROR(VLOOKUP(A115, WBS!A$4:B$200, 2, FALSE), "")</f>
        <v/>
      </c>
      <c r="I115" s="7">
        <f>IF(H115="USD", E115*G115*PROY!B$7, E115*G115)</f>
        <v/>
      </c>
    </row>
    <row r="116">
      <c r="B116" s="6">
        <f>IFERROR(VLOOKUP(A116, WBS!A$4:B$200, 2, FALSE), "")</f>
        <v/>
      </c>
      <c r="I116" s="7">
        <f>IF(H116="USD", E116*G116*PROY!B$7, E116*G116)</f>
        <v/>
      </c>
    </row>
    <row r="117">
      <c r="B117" s="6">
        <f>IFERROR(VLOOKUP(A117, WBS!A$4:B$200, 2, FALSE), "")</f>
        <v/>
      </c>
      <c r="I117" s="7">
        <f>IF(H117="USD", E117*G117*PROY!B$7, E117*G117)</f>
        <v/>
      </c>
    </row>
    <row r="118">
      <c r="B118" s="6">
        <f>IFERROR(VLOOKUP(A118, WBS!A$4:B$200, 2, FALSE), "")</f>
        <v/>
      </c>
      <c r="I118" s="7">
        <f>IF(H118="USD", E118*G118*PROY!B$7, E118*G118)</f>
        <v/>
      </c>
    </row>
    <row r="119">
      <c r="B119" s="6">
        <f>IFERROR(VLOOKUP(A119, WBS!A$4:B$200, 2, FALSE), "")</f>
        <v/>
      </c>
      <c r="I119" s="7">
        <f>IF(H119="USD", E119*G119*PROY!B$7, E119*G119)</f>
        <v/>
      </c>
    </row>
    <row r="120">
      <c r="B120" s="6">
        <f>IFERROR(VLOOKUP(A120, WBS!A$4:B$200, 2, FALSE), "")</f>
        <v/>
      </c>
      <c r="I120" s="7">
        <f>IF(H120="USD", E120*G120*PROY!B$7, E120*G120)</f>
        <v/>
      </c>
    </row>
    <row r="121">
      <c r="B121" s="6">
        <f>IFERROR(VLOOKUP(A121, WBS!A$4:B$200, 2, FALSE), "")</f>
        <v/>
      </c>
      <c r="I121" s="7">
        <f>IF(H121="USD", E121*G121*PROY!B$7, E121*G121)</f>
        <v/>
      </c>
    </row>
    <row r="122">
      <c r="B122" s="6">
        <f>IFERROR(VLOOKUP(A122, WBS!A$4:B$200, 2, FALSE), "")</f>
        <v/>
      </c>
      <c r="I122" s="7">
        <f>IF(H122="USD", E122*G122*PROY!B$7, E122*G122)</f>
        <v/>
      </c>
    </row>
    <row r="123">
      <c r="B123" s="6">
        <f>IFERROR(VLOOKUP(A123, WBS!A$4:B$200, 2, FALSE), "")</f>
        <v/>
      </c>
      <c r="I123" s="7">
        <f>IF(H123="USD", E123*G123*PROY!B$7, E123*G123)</f>
        <v/>
      </c>
    </row>
    <row r="124">
      <c r="B124" s="6">
        <f>IFERROR(VLOOKUP(A124, WBS!A$4:B$200, 2, FALSE), "")</f>
        <v/>
      </c>
      <c r="I124" s="7">
        <f>IF(H124="USD", E124*G124*PROY!B$7, E124*G124)</f>
        <v/>
      </c>
    </row>
    <row r="125">
      <c r="B125" s="6">
        <f>IFERROR(VLOOKUP(A125, WBS!A$4:B$200, 2, FALSE), "")</f>
        <v/>
      </c>
      <c r="I125" s="7">
        <f>IF(H125="USD", E125*G125*PROY!B$7, E125*G125)</f>
        <v/>
      </c>
    </row>
    <row r="126">
      <c r="B126" s="6">
        <f>IFERROR(VLOOKUP(A126, WBS!A$4:B$200, 2, FALSE), "")</f>
        <v/>
      </c>
      <c r="I126" s="7">
        <f>IF(H126="USD", E126*G126*PROY!B$7, E126*G126)</f>
        <v/>
      </c>
    </row>
    <row r="127">
      <c r="B127" s="6">
        <f>IFERROR(VLOOKUP(A127, WBS!A$4:B$200, 2, FALSE), "")</f>
        <v/>
      </c>
      <c r="I127" s="7">
        <f>IF(H127="USD", E127*G127*PROY!B$7, E127*G127)</f>
        <v/>
      </c>
    </row>
    <row r="128">
      <c r="B128" s="6">
        <f>IFERROR(VLOOKUP(A128, WBS!A$4:B$200, 2, FALSE), "")</f>
        <v/>
      </c>
      <c r="I128" s="7">
        <f>IF(H128="USD", E128*G128*PROY!B$7, E128*G128)</f>
        <v/>
      </c>
    </row>
    <row r="129">
      <c r="B129" s="6">
        <f>IFERROR(VLOOKUP(A129, WBS!A$4:B$200, 2, FALSE), "")</f>
        <v/>
      </c>
      <c r="I129" s="7">
        <f>IF(H129="USD", E129*G129*PROY!B$7, E129*G129)</f>
        <v/>
      </c>
    </row>
    <row r="130">
      <c r="B130" s="6">
        <f>IFERROR(VLOOKUP(A130, WBS!A$4:B$200, 2, FALSE), "")</f>
        <v/>
      </c>
      <c r="I130" s="7">
        <f>IF(H130="USD", E130*G130*PROY!B$7, E130*G130)</f>
        <v/>
      </c>
    </row>
    <row r="131">
      <c r="B131" s="6">
        <f>IFERROR(VLOOKUP(A131, WBS!A$4:B$200, 2, FALSE), "")</f>
        <v/>
      </c>
      <c r="I131" s="7">
        <f>IF(H131="USD", E131*G131*PROY!B$7, E131*G131)</f>
        <v/>
      </c>
    </row>
    <row r="132">
      <c r="B132" s="6">
        <f>IFERROR(VLOOKUP(A132, WBS!A$4:B$200, 2, FALSE), "")</f>
        <v/>
      </c>
      <c r="I132" s="7">
        <f>IF(H132="USD", E132*G132*PROY!B$7, E132*G132)</f>
        <v/>
      </c>
    </row>
    <row r="133">
      <c r="B133" s="6">
        <f>IFERROR(VLOOKUP(A133, WBS!A$4:B$200, 2, FALSE), "")</f>
        <v/>
      </c>
      <c r="I133" s="7">
        <f>IF(H133="USD", E133*G133*PROY!B$7, E133*G133)</f>
        <v/>
      </c>
    </row>
    <row r="134">
      <c r="B134" s="6">
        <f>IFERROR(VLOOKUP(A134, WBS!A$4:B$200, 2, FALSE), "")</f>
        <v/>
      </c>
      <c r="I134" s="7">
        <f>IF(H134="USD", E134*G134*PROY!B$7, E134*G134)</f>
        <v/>
      </c>
    </row>
    <row r="135">
      <c r="B135" s="6">
        <f>IFERROR(VLOOKUP(A135, WBS!A$4:B$200, 2, FALSE), "")</f>
        <v/>
      </c>
      <c r="I135" s="7">
        <f>IF(H135="USD", E135*G135*PROY!B$7, E135*G135)</f>
        <v/>
      </c>
    </row>
    <row r="136">
      <c r="B136" s="6">
        <f>IFERROR(VLOOKUP(A136, WBS!A$4:B$200, 2, FALSE), "")</f>
        <v/>
      </c>
      <c r="I136" s="7">
        <f>IF(H136="USD", E136*G136*PROY!B$7, E136*G136)</f>
        <v/>
      </c>
    </row>
    <row r="137">
      <c r="B137" s="6">
        <f>IFERROR(VLOOKUP(A137, WBS!A$4:B$200, 2, FALSE), "")</f>
        <v/>
      </c>
      <c r="I137" s="7">
        <f>IF(H137="USD", E137*G137*PROY!B$7, E137*G137)</f>
        <v/>
      </c>
    </row>
    <row r="138">
      <c r="B138" s="6">
        <f>IFERROR(VLOOKUP(A138, WBS!A$4:B$200, 2, FALSE), "")</f>
        <v/>
      </c>
      <c r="I138" s="7">
        <f>IF(H138="USD", E138*G138*PROY!B$7, E138*G138)</f>
        <v/>
      </c>
    </row>
    <row r="139">
      <c r="B139" s="6">
        <f>IFERROR(VLOOKUP(A139, WBS!A$4:B$200, 2, FALSE), "")</f>
        <v/>
      </c>
      <c r="I139" s="7">
        <f>IF(H139="USD", E139*G139*PROY!B$7, E139*G139)</f>
        <v/>
      </c>
    </row>
    <row r="140">
      <c r="B140" s="6">
        <f>IFERROR(VLOOKUP(A140, WBS!A$4:B$200, 2, FALSE), "")</f>
        <v/>
      </c>
      <c r="I140" s="7">
        <f>IF(H140="USD", E140*G140*PROY!B$7, E140*G140)</f>
        <v/>
      </c>
    </row>
    <row r="141">
      <c r="B141" s="6">
        <f>IFERROR(VLOOKUP(A141, WBS!A$4:B$200, 2, FALSE), "")</f>
        <v/>
      </c>
      <c r="I141" s="7">
        <f>IF(H141="USD", E141*G141*PROY!B$7, E141*G141)</f>
        <v/>
      </c>
    </row>
    <row r="142">
      <c r="B142" s="6">
        <f>IFERROR(VLOOKUP(A142, WBS!A$4:B$200, 2, FALSE), "")</f>
        <v/>
      </c>
      <c r="I142" s="7">
        <f>IF(H142="USD", E142*G142*PROY!B$7, E142*G142)</f>
        <v/>
      </c>
    </row>
    <row r="143">
      <c r="B143" s="6">
        <f>IFERROR(VLOOKUP(A143, WBS!A$4:B$200, 2, FALSE), "")</f>
        <v/>
      </c>
      <c r="I143" s="7">
        <f>IF(H143="USD", E143*G143*PROY!B$7, E143*G143)</f>
        <v/>
      </c>
    </row>
    <row r="144">
      <c r="B144" s="6">
        <f>IFERROR(VLOOKUP(A144, WBS!A$4:B$200, 2, FALSE), "")</f>
        <v/>
      </c>
      <c r="I144" s="7">
        <f>IF(H144="USD", E144*G144*PROY!B$7, E144*G144)</f>
        <v/>
      </c>
    </row>
    <row r="145">
      <c r="B145" s="6">
        <f>IFERROR(VLOOKUP(A145, WBS!A$4:B$200, 2, FALSE), "")</f>
        <v/>
      </c>
      <c r="I145" s="7">
        <f>IF(H145="USD", E145*G145*PROY!B$7, E145*G145)</f>
        <v/>
      </c>
    </row>
    <row r="146">
      <c r="B146" s="6">
        <f>IFERROR(VLOOKUP(A146, WBS!A$4:B$200, 2, FALSE), "")</f>
        <v/>
      </c>
      <c r="I146" s="7">
        <f>IF(H146="USD", E146*G146*PROY!B$7, E146*G146)</f>
        <v/>
      </c>
    </row>
    <row r="147">
      <c r="B147" s="6">
        <f>IFERROR(VLOOKUP(A147, WBS!A$4:B$200, 2, FALSE), "")</f>
        <v/>
      </c>
      <c r="I147" s="7">
        <f>IF(H147="USD", E147*G147*PROY!B$7, E147*G147)</f>
        <v/>
      </c>
    </row>
    <row r="148">
      <c r="B148" s="6">
        <f>IFERROR(VLOOKUP(A148, WBS!A$4:B$200, 2, FALSE), "")</f>
        <v/>
      </c>
      <c r="I148" s="7">
        <f>IF(H148="USD", E148*G148*PROY!B$7, E148*G148)</f>
        <v/>
      </c>
    </row>
    <row r="149">
      <c r="B149" s="6">
        <f>IFERROR(VLOOKUP(A149, WBS!A$4:B$200, 2, FALSE), "")</f>
        <v/>
      </c>
      <c r="I149" s="7">
        <f>IF(H149="USD", E149*G149*PROY!B$7, E149*G149)</f>
        <v/>
      </c>
    </row>
    <row r="150">
      <c r="B150" s="6">
        <f>IFERROR(VLOOKUP(A150, WBS!A$4:B$200, 2, FALSE), "")</f>
        <v/>
      </c>
      <c r="I150" s="7">
        <f>IF(H150="USD", E150*G150*PROY!B$7, E150*G150)</f>
        <v/>
      </c>
    </row>
    <row r="151">
      <c r="B151" s="6">
        <f>IFERROR(VLOOKUP(A151, WBS!A$4:B$200, 2, FALSE), "")</f>
        <v/>
      </c>
      <c r="I151" s="7">
        <f>IF(H151="USD", E151*G151*PROY!B$7, E151*G151)</f>
        <v/>
      </c>
    </row>
    <row r="152">
      <c r="B152" s="6">
        <f>IFERROR(VLOOKUP(A152, WBS!A$4:B$200, 2, FALSE), "")</f>
        <v/>
      </c>
      <c r="I152" s="7">
        <f>IF(H152="USD", E152*G152*PROY!B$7, E152*G152)</f>
        <v/>
      </c>
    </row>
    <row r="153">
      <c r="B153" s="6">
        <f>IFERROR(VLOOKUP(A153, WBS!A$4:B$200, 2, FALSE), "")</f>
        <v/>
      </c>
      <c r="I153" s="7">
        <f>IF(H153="USD", E153*G153*PROY!B$7, E153*G153)</f>
        <v/>
      </c>
    </row>
    <row r="154">
      <c r="B154" s="6">
        <f>IFERROR(VLOOKUP(A154, WBS!A$4:B$200, 2, FALSE), "")</f>
        <v/>
      </c>
      <c r="I154" s="7">
        <f>IF(H154="USD", E154*G154*PROY!B$7, E154*G154)</f>
        <v/>
      </c>
    </row>
    <row r="155">
      <c r="B155" s="6">
        <f>IFERROR(VLOOKUP(A155, WBS!A$4:B$200, 2, FALSE), "")</f>
        <v/>
      </c>
      <c r="I155" s="7">
        <f>IF(H155="USD", E155*G155*PROY!B$7, E155*G155)</f>
        <v/>
      </c>
    </row>
    <row r="156">
      <c r="B156" s="6">
        <f>IFERROR(VLOOKUP(A156, WBS!A$4:B$200, 2, FALSE), "")</f>
        <v/>
      </c>
      <c r="I156" s="7">
        <f>IF(H156="USD", E156*G156*PROY!B$7, E156*G156)</f>
        <v/>
      </c>
    </row>
    <row r="157">
      <c r="B157" s="6">
        <f>IFERROR(VLOOKUP(A157, WBS!A$4:B$200, 2, FALSE), "")</f>
        <v/>
      </c>
      <c r="I157" s="7">
        <f>IF(H157="USD", E157*G157*PROY!B$7, E157*G157)</f>
        <v/>
      </c>
    </row>
    <row r="158">
      <c r="B158" s="6">
        <f>IFERROR(VLOOKUP(A158, WBS!A$4:B$200, 2, FALSE), "")</f>
        <v/>
      </c>
      <c r="I158" s="7">
        <f>IF(H158="USD", E158*G158*PROY!B$7, E158*G158)</f>
        <v/>
      </c>
    </row>
    <row r="159">
      <c r="B159" s="6">
        <f>IFERROR(VLOOKUP(A159, WBS!A$4:B$200, 2, FALSE), "")</f>
        <v/>
      </c>
      <c r="I159" s="7">
        <f>IF(H159="USD", E159*G159*PROY!B$7, E159*G159)</f>
        <v/>
      </c>
    </row>
    <row r="160">
      <c r="B160" s="6">
        <f>IFERROR(VLOOKUP(A160, WBS!A$4:B$200, 2, FALSE), "")</f>
        <v/>
      </c>
      <c r="I160" s="7">
        <f>IF(H160="USD", E160*G160*PROY!B$7, E160*G160)</f>
        <v/>
      </c>
    </row>
    <row r="161">
      <c r="B161" s="6">
        <f>IFERROR(VLOOKUP(A161, WBS!A$4:B$200, 2, FALSE), "")</f>
        <v/>
      </c>
      <c r="I161" s="7">
        <f>IF(H161="USD", E161*G161*PROY!B$7, E161*G161)</f>
        <v/>
      </c>
    </row>
    <row r="162">
      <c r="B162" s="6">
        <f>IFERROR(VLOOKUP(A162, WBS!A$4:B$200, 2, FALSE), "")</f>
        <v/>
      </c>
      <c r="I162" s="7">
        <f>IF(H162="USD", E162*G162*PROY!B$7, E162*G162)</f>
        <v/>
      </c>
    </row>
    <row r="163">
      <c r="B163" s="6">
        <f>IFERROR(VLOOKUP(A163, WBS!A$4:B$200, 2, FALSE), "")</f>
        <v/>
      </c>
      <c r="I163" s="7">
        <f>IF(H163="USD", E163*G163*PROY!B$7, E163*G163)</f>
        <v/>
      </c>
    </row>
    <row r="164">
      <c r="B164" s="6">
        <f>IFERROR(VLOOKUP(A164, WBS!A$4:B$200, 2, FALSE), "")</f>
        <v/>
      </c>
      <c r="I164" s="7">
        <f>IF(H164="USD", E164*G164*PROY!B$7, E164*G164)</f>
        <v/>
      </c>
    </row>
    <row r="165">
      <c r="B165" s="6">
        <f>IFERROR(VLOOKUP(A165, WBS!A$4:B$200, 2, FALSE), "")</f>
        <v/>
      </c>
      <c r="I165" s="7">
        <f>IF(H165="USD", E165*G165*PROY!B$7, E165*G165)</f>
        <v/>
      </c>
    </row>
    <row r="166">
      <c r="B166" s="6">
        <f>IFERROR(VLOOKUP(A166, WBS!A$4:B$200, 2, FALSE), "")</f>
        <v/>
      </c>
      <c r="I166" s="7">
        <f>IF(H166="USD", E166*G166*PROY!B$7, E166*G166)</f>
        <v/>
      </c>
    </row>
    <row r="167">
      <c r="B167" s="6">
        <f>IFERROR(VLOOKUP(A167, WBS!A$4:B$200, 2, FALSE), "")</f>
        <v/>
      </c>
      <c r="I167" s="7">
        <f>IF(H167="USD", E167*G167*PROY!B$7, E167*G167)</f>
        <v/>
      </c>
    </row>
    <row r="168">
      <c r="B168" s="6">
        <f>IFERROR(VLOOKUP(A168, WBS!A$4:B$200, 2, FALSE), "")</f>
        <v/>
      </c>
      <c r="I168" s="7">
        <f>IF(H168="USD", E168*G168*PROY!B$7, E168*G168)</f>
        <v/>
      </c>
    </row>
    <row r="169">
      <c r="B169" s="6">
        <f>IFERROR(VLOOKUP(A169, WBS!A$4:B$200, 2, FALSE), "")</f>
        <v/>
      </c>
      <c r="I169" s="7">
        <f>IF(H169="USD", E169*G169*PROY!B$7, E169*G169)</f>
        <v/>
      </c>
    </row>
    <row r="170">
      <c r="B170" s="6">
        <f>IFERROR(VLOOKUP(A170, WBS!A$4:B$200, 2, FALSE), "")</f>
        <v/>
      </c>
      <c r="I170" s="7">
        <f>IF(H170="USD", E170*G170*PROY!B$7, E170*G170)</f>
        <v/>
      </c>
    </row>
    <row r="171">
      <c r="B171" s="6">
        <f>IFERROR(VLOOKUP(A171, WBS!A$4:B$200, 2, FALSE), "")</f>
        <v/>
      </c>
      <c r="I171" s="7">
        <f>IF(H171="USD", E171*G171*PROY!B$7, E171*G171)</f>
        <v/>
      </c>
    </row>
    <row r="172">
      <c r="B172" s="6">
        <f>IFERROR(VLOOKUP(A172, WBS!A$4:B$200, 2, FALSE), "")</f>
        <v/>
      </c>
      <c r="I172" s="7">
        <f>IF(H172="USD", E172*G172*PROY!B$7, E172*G172)</f>
        <v/>
      </c>
    </row>
    <row r="173">
      <c r="B173" s="6">
        <f>IFERROR(VLOOKUP(A173, WBS!A$4:B$200, 2, FALSE), "")</f>
        <v/>
      </c>
      <c r="I173" s="7">
        <f>IF(H173="USD", E173*G173*PROY!B$7, E173*G173)</f>
        <v/>
      </c>
    </row>
    <row r="174">
      <c r="B174" s="6">
        <f>IFERROR(VLOOKUP(A174, WBS!A$4:B$200, 2, FALSE), "")</f>
        <v/>
      </c>
      <c r="I174" s="7">
        <f>IF(H174="USD", E174*G174*PROY!B$7, E174*G174)</f>
        <v/>
      </c>
    </row>
    <row r="175">
      <c r="B175" s="6">
        <f>IFERROR(VLOOKUP(A175, WBS!A$4:B$200, 2, FALSE), "")</f>
        <v/>
      </c>
      <c r="I175" s="7">
        <f>IF(H175="USD", E175*G175*PROY!B$7, E175*G175)</f>
        <v/>
      </c>
    </row>
    <row r="176">
      <c r="B176" s="6">
        <f>IFERROR(VLOOKUP(A176, WBS!A$4:B$200, 2, FALSE), "")</f>
        <v/>
      </c>
      <c r="I176" s="7">
        <f>IF(H176="USD", E176*G176*PROY!B$7, E176*G176)</f>
        <v/>
      </c>
    </row>
    <row r="177">
      <c r="B177" s="6">
        <f>IFERROR(VLOOKUP(A177, WBS!A$4:B$200, 2, FALSE), "")</f>
        <v/>
      </c>
      <c r="I177" s="7">
        <f>IF(H177="USD", E177*G177*PROY!B$7, E177*G177)</f>
        <v/>
      </c>
    </row>
    <row r="178">
      <c r="B178" s="6">
        <f>IFERROR(VLOOKUP(A178, WBS!A$4:B$200, 2, FALSE), "")</f>
        <v/>
      </c>
      <c r="I178" s="7">
        <f>IF(H178="USD", E178*G178*PROY!B$7, E178*G178)</f>
        <v/>
      </c>
    </row>
    <row r="179">
      <c r="B179" s="6">
        <f>IFERROR(VLOOKUP(A179, WBS!A$4:B$200, 2, FALSE), "")</f>
        <v/>
      </c>
      <c r="I179" s="7">
        <f>IF(H179="USD", E179*G179*PROY!B$7, E179*G179)</f>
        <v/>
      </c>
    </row>
    <row r="180">
      <c r="B180" s="6">
        <f>IFERROR(VLOOKUP(A180, WBS!A$4:B$200, 2, FALSE), "")</f>
        <v/>
      </c>
      <c r="I180" s="7">
        <f>IF(H180="USD", E180*G180*PROY!B$7, E180*G180)</f>
        <v/>
      </c>
    </row>
    <row r="181">
      <c r="B181" s="6">
        <f>IFERROR(VLOOKUP(A181, WBS!A$4:B$200, 2, FALSE), "")</f>
        <v/>
      </c>
      <c r="I181" s="7">
        <f>IF(H181="USD", E181*G181*PROY!B$7, E181*G181)</f>
        <v/>
      </c>
    </row>
    <row r="182">
      <c r="B182" s="6">
        <f>IFERROR(VLOOKUP(A182, WBS!A$4:B$200, 2, FALSE), "")</f>
        <v/>
      </c>
      <c r="I182" s="7">
        <f>IF(H182="USD", E182*G182*PROY!B$7, E182*G182)</f>
        <v/>
      </c>
    </row>
    <row r="183">
      <c r="B183" s="6">
        <f>IFERROR(VLOOKUP(A183, WBS!A$4:B$200, 2, FALSE), "")</f>
        <v/>
      </c>
      <c r="I183" s="7">
        <f>IF(H183="USD", E183*G183*PROY!B$7, E183*G183)</f>
        <v/>
      </c>
    </row>
    <row r="184">
      <c r="B184" s="6">
        <f>IFERROR(VLOOKUP(A184, WBS!A$4:B$200, 2, FALSE), "")</f>
        <v/>
      </c>
      <c r="I184" s="7">
        <f>IF(H184="USD", E184*G184*PROY!B$7, E184*G184)</f>
        <v/>
      </c>
    </row>
    <row r="185">
      <c r="B185" s="6">
        <f>IFERROR(VLOOKUP(A185, WBS!A$4:B$200, 2, FALSE), "")</f>
        <v/>
      </c>
      <c r="I185" s="7">
        <f>IF(H185="USD", E185*G185*PROY!B$7, E185*G185)</f>
        <v/>
      </c>
    </row>
    <row r="186">
      <c r="B186" s="6">
        <f>IFERROR(VLOOKUP(A186, WBS!A$4:B$200, 2, FALSE), "")</f>
        <v/>
      </c>
      <c r="I186" s="7">
        <f>IF(H186="USD", E186*G186*PROY!B$7, E186*G186)</f>
        <v/>
      </c>
    </row>
    <row r="187">
      <c r="B187" s="6">
        <f>IFERROR(VLOOKUP(A187, WBS!A$4:B$200, 2, FALSE), "")</f>
        <v/>
      </c>
      <c r="I187" s="7">
        <f>IF(H187="USD", E187*G187*PROY!B$7, E187*G187)</f>
        <v/>
      </c>
    </row>
    <row r="188">
      <c r="B188" s="6">
        <f>IFERROR(VLOOKUP(A188, WBS!A$4:B$200, 2, FALSE), "")</f>
        <v/>
      </c>
      <c r="I188" s="7">
        <f>IF(H188="USD", E188*G188*PROY!B$7, E188*G188)</f>
        <v/>
      </c>
    </row>
    <row r="189">
      <c r="B189" s="6">
        <f>IFERROR(VLOOKUP(A189, WBS!A$4:B$200, 2, FALSE), "")</f>
        <v/>
      </c>
      <c r="I189" s="7">
        <f>IF(H189="USD", E189*G189*PROY!B$7, E189*G189)</f>
        <v/>
      </c>
    </row>
    <row r="190">
      <c r="B190" s="6">
        <f>IFERROR(VLOOKUP(A190, WBS!A$4:B$200, 2, FALSE), "")</f>
        <v/>
      </c>
      <c r="I190" s="7">
        <f>IF(H190="USD", E190*G190*PROY!B$7, E190*G190)</f>
        <v/>
      </c>
    </row>
    <row r="191">
      <c r="B191" s="6">
        <f>IFERROR(VLOOKUP(A191, WBS!A$4:B$200, 2, FALSE), "")</f>
        <v/>
      </c>
      <c r="I191" s="7">
        <f>IF(H191="USD", E191*G191*PROY!B$7, E191*G191)</f>
        <v/>
      </c>
    </row>
    <row r="192">
      <c r="B192" s="6">
        <f>IFERROR(VLOOKUP(A192, WBS!A$4:B$200, 2, FALSE), "")</f>
        <v/>
      </c>
      <c r="I192" s="7">
        <f>IF(H192="USD", E192*G192*PROY!B$7, E192*G192)</f>
        <v/>
      </c>
    </row>
    <row r="193">
      <c r="B193" s="6">
        <f>IFERROR(VLOOKUP(A193, WBS!A$4:B$200, 2, FALSE), "")</f>
        <v/>
      </c>
      <c r="I193" s="7">
        <f>IF(H193="USD", E193*G193*PROY!B$7, E193*G193)</f>
        <v/>
      </c>
    </row>
    <row r="194">
      <c r="B194" s="6">
        <f>IFERROR(VLOOKUP(A194, WBS!A$4:B$200, 2, FALSE), "")</f>
        <v/>
      </c>
      <c r="I194" s="7">
        <f>IF(H194="USD", E194*G194*PROY!B$7, E194*G194)</f>
        <v/>
      </c>
    </row>
    <row r="195">
      <c r="B195" s="6">
        <f>IFERROR(VLOOKUP(A195, WBS!A$4:B$200, 2, FALSE), "")</f>
        <v/>
      </c>
      <c r="I195" s="7">
        <f>IF(H195="USD", E195*G195*PROY!B$7, E195*G195)</f>
        <v/>
      </c>
    </row>
    <row r="196">
      <c r="B196" s="6">
        <f>IFERROR(VLOOKUP(A196, WBS!A$4:B$200, 2, FALSE), "")</f>
        <v/>
      </c>
      <c r="I196" s="7">
        <f>IF(H196="USD", E196*G196*PROY!B$7, E196*G196)</f>
        <v/>
      </c>
    </row>
    <row r="197">
      <c r="B197" s="6">
        <f>IFERROR(VLOOKUP(A197, WBS!A$4:B$200, 2, FALSE), "")</f>
        <v/>
      </c>
      <c r="I197" s="7">
        <f>IF(H197="USD", E197*G197*PROY!B$7, E197*G197)</f>
        <v/>
      </c>
    </row>
    <row r="198">
      <c r="B198" s="6">
        <f>IFERROR(VLOOKUP(A198, WBS!A$4:B$200, 2, FALSE), "")</f>
        <v/>
      </c>
      <c r="I198" s="7">
        <f>IF(H198="USD", E198*G198*PROY!B$7, E198*G198)</f>
        <v/>
      </c>
    </row>
    <row r="199">
      <c r="B199" s="6">
        <f>IFERROR(VLOOKUP(A199, WBS!A$4:B$200, 2, FALSE), "")</f>
        <v/>
      </c>
      <c r="I199" s="7">
        <f>IF(H199="USD", E199*G199*PROY!B$7, E199*G199)</f>
        <v/>
      </c>
    </row>
  </sheetData>
  <dataValidations count="1">
    <dataValidation sqref="H4:H200" showDropDown="0" showInputMessage="0" showErrorMessage="0" allowBlank="0" type="list">
      <formula1>"MXN,USD"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4" customWidth="1" min="8" max="8"/>
  </cols>
  <sheetData>
    <row r="1">
      <c r="A1" s="1" t="inlineStr">
        <is>
          <t>PASO 4 — RESUMEN AUTOMÁTICO DE COSTO DIRECTO (TRABAJO DEL PRESUPUESTADOR TERMINADO)</t>
        </is>
      </c>
    </row>
    <row r="3">
      <c r="A3" s="2" t="inlineStr">
        <is>
          <t>N° Partida</t>
        </is>
      </c>
      <c r="B3" s="2" t="inlineStr">
        <is>
          <t>Descripción Partida WBS</t>
        </is>
      </c>
      <c r="C3" s="2" t="inlineStr">
        <is>
          <t>Materiales (MXN)</t>
        </is>
      </c>
      <c r="D3" s="2" t="inlineStr">
        <is>
          <t>Mano de Obra (MXN)</t>
        </is>
      </c>
      <c r="E3" s="2" t="inlineStr">
        <is>
          <t>Gastos Obra (MXN)</t>
        </is>
      </c>
      <c r="F3" s="2" t="inlineStr">
        <is>
          <t>Subcontratos (MXN)</t>
        </is>
      </c>
      <c r="G3" s="2" t="inlineStr">
        <is>
          <t>Maquinaria (MXN)</t>
        </is>
      </c>
      <c r="H3" s="2" t="inlineStr">
        <is>
          <t>TOTAL COSTO DIRECTO (MXN)</t>
        </is>
      </c>
    </row>
    <row r="4">
      <c r="A4" s="5" t="n">
        <v>1</v>
      </c>
      <c r="B4" s="3">
        <f>WBS!B4</f>
        <v/>
      </c>
      <c r="C4" s="7">
        <f>SUMIF(3_MATERIALES!A$4:A$200, A4, 3_MATERIALES!G$4:G$200)</f>
        <v/>
      </c>
      <c r="D4" s="7">
        <f>SUMIF(4_MANO_DE_OBRA!A$4:A$200, A4, 4_MANO_DE_OBRA!J$4:J$200)</f>
        <v/>
      </c>
      <c r="E4" s="7">
        <f>SUMIF(5_GASTOS_GENERALES!A$4:A$200, A4, 5_GASTOS_GENERALES!H$4:H$200)</f>
        <v/>
      </c>
      <c r="F4" s="7">
        <f>SUMIF(6_SUBCONTRATOS!A$4:A$200, A4, 6_SUBCONTRATOS!I$4:I$200)</f>
        <v/>
      </c>
      <c r="G4" s="7">
        <f>SUMIF(7_MAQUINARIA!A$4:A$200, A4, 7_MAQUINARIA!I$4:I$200)</f>
        <v/>
      </c>
      <c r="H4" s="9">
        <f>SUM(C4:G4)</f>
        <v/>
      </c>
    </row>
    <row r="5">
      <c r="A5" s="5" t="n">
        <v>2</v>
      </c>
      <c r="B5" s="3">
        <f>WBS!B5</f>
        <v/>
      </c>
      <c r="C5" s="7">
        <f>SUMIF(3_MATERIALES!A$4:A$200, A5, 3_MATERIALES!G$4:G$200)</f>
        <v/>
      </c>
      <c r="D5" s="7">
        <f>SUMIF(4_MANO_DE_OBRA!A$4:A$200, A5, 4_MANO_DE_OBRA!J$4:J$200)</f>
        <v/>
      </c>
      <c r="E5" s="7">
        <f>SUMIF(5_GASTOS_GENERALES!A$4:A$200, A5, 5_GASTOS_GENERALES!H$4:H$200)</f>
        <v/>
      </c>
      <c r="F5" s="7">
        <f>SUMIF(6_SUBCONTRATOS!A$4:A$200, A5, 6_SUBCONTRATOS!I$4:I$200)</f>
        <v/>
      </c>
      <c r="G5" s="7">
        <f>SUMIF(7_MAQUINARIA!A$4:A$200, A5, 7_MAQUINARIA!I$4:I$200)</f>
        <v/>
      </c>
      <c r="H5" s="9">
        <f>SUM(C5:G5)</f>
        <v/>
      </c>
    </row>
    <row r="6">
      <c r="A6" s="5" t="n">
        <v>3</v>
      </c>
      <c r="B6" s="3">
        <f>WBS!B6</f>
        <v/>
      </c>
      <c r="C6" s="7">
        <f>SUMIF(3_MATERIALES!A$4:A$200, A6, 3_MATERIALES!G$4:G$200)</f>
        <v/>
      </c>
      <c r="D6" s="7">
        <f>SUMIF(4_MANO_DE_OBRA!A$4:A$200, A6, 4_MANO_DE_OBRA!J$4:J$200)</f>
        <v/>
      </c>
      <c r="E6" s="7">
        <f>SUMIF(5_GASTOS_GENERALES!A$4:A$200, A6, 5_GASTOS_GENERALES!H$4:H$200)</f>
        <v/>
      </c>
      <c r="F6" s="7">
        <f>SUMIF(6_SUBCONTRATOS!A$4:A$200, A6, 6_SUBCONTRATOS!I$4:I$200)</f>
        <v/>
      </c>
      <c r="G6" s="7">
        <f>SUMIF(7_MAQUINARIA!A$4:A$200, A6, 7_MAQUINARIA!I$4:I$200)</f>
        <v/>
      </c>
      <c r="H6" s="9">
        <f>SUM(C6:G6)</f>
        <v/>
      </c>
    </row>
    <row r="7">
      <c r="B7" s="10" t="inlineStr">
        <is>
          <t>TOTAL COSTO DIRECTO DEL PROYECTO:</t>
        </is>
      </c>
      <c r="H7" s="11">
        <f>SUM(H4:H6)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35" customWidth="1" min="4" max="4"/>
    <col width="35" customWidth="1" min="5" max="5"/>
    <col width="30" customWidth="1" min="6" max="6"/>
  </cols>
  <sheetData>
    <row r="1">
      <c r="A1" s="3" t="inlineStr">
        <is>
          <t>PUESTOS_MO</t>
        </is>
      </c>
      <c r="B1" s="3" t="inlineStr">
        <is>
          <t>SUELDO_BASE_SEMANAL</t>
        </is>
      </c>
      <c r="C1" s="3" t="inlineStr">
        <is>
          <t>FASAR</t>
        </is>
      </c>
      <c r="D1" s="3" t="inlineStr">
        <is>
          <t>GASTOS_OBRA</t>
        </is>
      </c>
      <c r="E1" s="3" t="inlineStr">
        <is>
          <t>SUBCONTRATOS</t>
        </is>
      </c>
      <c r="F1" s="3" t="inlineStr">
        <is>
          <t>CLIENTES</t>
        </is>
      </c>
    </row>
    <row r="2">
      <c r="A2" t="inlineStr">
        <is>
          <t>Diseñador de Controles</t>
        </is>
      </c>
      <c r="B2" s="7" t="n">
        <v>5500</v>
      </c>
      <c r="C2" s="8" t="n">
        <v>1.45</v>
      </c>
      <c r="D2" t="inlineStr">
        <is>
          <t>Pasajes y Fletes Especiales Obra</t>
        </is>
      </c>
      <c r="E2" t="inlineStr">
        <is>
          <t>Arrendamiento de Grúa Telescópica</t>
        </is>
      </c>
      <c r="F2" t="inlineStr">
        <is>
          <t>OH - GABINETES Y AUTOMATIZACION</t>
        </is>
      </c>
    </row>
    <row r="3">
      <c r="A3" t="inlineStr">
        <is>
          <t>Ingeniero de Control</t>
        </is>
      </c>
      <c r="B3" s="7" t="n">
        <v>5500</v>
      </c>
      <c r="C3" s="8" t="n">
        <v>1.45</v>
      </c>
      <c r="D3" t="inlineStr">
        <is>
          <t>Combustibles de Camionetas y Maquinaria</t>
        </is>
      </c>
      <c r="E3" t="inlineStr">
        <is>
          <t>Corte Láser / Pantógrafo Placas</t>
        </is>
      </c>
      <c r="F3" t="inlineStr">
        <is>
          <t>YESA - YESO Y MOLDURAS</t>
        </is>
      </c>
    </row>
    <row r="4">
      <c r="A4" t="inlineStr">
        <is>
          <t>Programador PLC / Robot</t>
        </is>
      </c>
      <c r="B4" s="7" t="n">
        <v>4500</v>
      </c>
      <c r="C4" s="8" t="n">
        <v>1.45</v>
      </c>
      <c r="D4" t="inlineStr">
        <is>
          <t>Comisiones Bancarias por Proyecto</t>
        </is>
      </c>
      <c r="E4" t="inlineStr">
        <is>
          <t>Fabricación de Gabinetes Eléctricos</t>
        </is>
      </c>
      <c r="F4" t="inlineStr">
        <is>
          <t>J&amp;D AUTOMATION INTERNO</t>
        </is>
      </c>
    </row>
    <row r="5">
      <c r="A5" t="inlineStr">
        <is>
          <t>Tablerista</t>
        </is>
      </c>
      <c r="B5" s="7" t="n">
        <v>4500</v>
      </c>
      <c r="C5" s="8" t="n">
        <v>1.45</v>
      </c>
      <c r="D5" t="inlineStr">
        <is>
          <t>Hospedaje de Cuadrillas de Obra</t>
        </is>
      </c>
      <c r="E5" t="inlineStr">
        <is>
          <t>Grúa 20 Ton</t>
        </is>
      </c>
      <c r="F5" t="inlineStr">
        <is>
          <t>TREBOTTI</t>
        </is>
      </c>
    </row>
    <row r="6">
      <c r="A6" t="inlineStr">
        <is>
          <t>Eléctricos</t>
        </is>
      </c>
      <c r="B6" s="7" t="n">
        <v>3800</v>
      </c>
      <c r="C6" s="8" t="n">
        <v>1.45</v>
      </c>
      <c r="D6" t="inlineStr">
        <is>
          <t>Uniformes y Ropa de Trabajo EPP</t>
        </is>
      </c>
      <c r="E6" t="inlineStr">
        <is>
          <t>Maquinado CNC / Torno de Piezas</t>
        </is>
      </c>
    </row>
    <row r="7">
      <c r="A7" t="inlineStr">
        <is>
          <t>Diseñador Mecánico</t>
        </is>
      </c>
      <c r="B7" s="7" t="n">
        <v>3500</v>
      </c>
      <c r="C7" s="8" t="n">
        <v>1.45</v>
      </c>
      <c r="D7" t="inlineStr">
        <is>
          <t>IVA Deducción No Acreditable Obra</t>
        </is>
      </c>
      <c r="E7" t="inlineStr">
        <is>
          <t>Montacargas y Maniobras de Carga</t>
        </is>
      </c>
    </row>
    <row r="8">
      <c r="A8" t="inlineStr">
        <is>
          <t>Mecánicos</t>
        </is>
      </c>
      <c r="B8" s="7" t="n">
        <v>3000</v>
      </c>
      <c r="C8" s="8" t="n">
        <v>1.45</v>
      </c>
      <c r="D8" t="inlineStr">
        <is>
          <t>Gastos Médicos y Botiquín de Campo</t>
        </is>
      </c>
      <c r="E8" t="inlineStr">
        <is>
          <t>Pintura Electrostática / Horneado</t>
        </is>
      </c>
    </row>
    <row r="9">
      <c r="A9" t="inlineStr">
        <is>
          <t>Montadores</t>
        </is>
      </c>
      <c r="B9" s="7" t="n">
        <v>2800</v>
      </c>
      <c r="C9" s="8" t="n">
        <v>1.45</v>
      </c>
      <c r="D9" t="inlineStr">
        <is>
          <t>Gastos No Deducibles de Obra</t>
        </is>
      </c>
      <c r="E9" t="inlineStr">
        <is>
          <t>Programación Especializada PLC / HMI</t>
        </is>
      </c>
    </row>
    <row r="10">
      <c r="A10" t="inlineStr">
        <is>
          <t>Dibujante</t>
        </is>
      </c>
      <c r="B10" s="7" t="n">
        <v>2500</v>
      </c>
      <c r="C10" s="8" t="n">
        <v>1.45</v>
      </c>
      <c r="D10" t="inlineStr">
        <is>
          <t>Mantenimiento a Vehículos de Obra</t>
        </is>
      </c>
      <c r="E10" t="inlineStr">
        <is>
          <t>Pruebas NDT / Ensayos No Destructivos</t>
        </is>
      </c>
    </row>
    <row r="11">
      <c r="A11" t="inlineStr">
        <is>
          <t>Ayudantes</t>
        </is>
      </c>
      <c r="B11" s="7" t="n">
        <v>2500</v>
      </c>
      <c r="C11" s="8" t="n">
        <v>1.45</v>
      </c>
      <c r="D11" t="inlineStr">
        <is>
          <t>Adquisiciones Directas para Personal</t>
        </is>
      </c>
    </row>
    <row r="12">
      <c r="A12" t="inlineStr">
        <is>
          <t>Supervisor de Obra</t>
        </is>
      </c>
      <c r="B12" s="7" t="n">
        <v>6000</v>
      </c>
      <c r="C12" s="8" t="n">
        <v>1.45</v>
      </c>
      <c r="D12" t="inlineStr">
        <is>
          <t>Viáticos Externos de Campo</t>
        </is>
      </c>
    </row>
    <row r="13">
      <c r="D13" t="inlineStr">
        <is>
          <t>Comisionistas y Agentes Externos</t>
        </is>
      </c>
    </row>
    <row r="14">
      <c r="D14" t="inlineStr">
        <is>
          <t>Casetas y Peajes de Carretera</t>
        </is>
      </c>
    </row>
    <row r="15">
      <c r="D15" t="inlineStr">
        <is>
          <t>Fletes Especializados de Traslado</t>
        </is>
      </c>
    </row>
    <row r="16">
      <c r="D16" t="inlineStr">
        <is>
          <t>Herramientas Menores y Refacciones Campo</t>
        </is>
      </c>
    </row>
    <row r="17">
      <c r="D17" t="inlineStr">
        <is>
          <t>Maniobras de Carga y Almacén</t>
        </is>
      </c>
    </row>
    <row r="18">
      <c r="D18" t="inlineStr">
        <is>
          <t>Agua Potable y Pipas de Obra</t>
        </is>
      </c>
    </row>
    <row r="19">
      <c r="D19" t="inlineStr">
        <is>
          <t>Luz y Energía Temporal Obra</t>
        </is>
      </c>
    </row>
    <row r="20">
      <c r="D20" t="inlineStr">
        <is>
          <t>Mantenimiento a Equipo Cómputo/Pruebas</t>
        </is>
      </c>
    </row>
    <row r="21">
      <c r="D21" t="inlineStr">
        <is>
          <t>Mano de Obra Paga Directa</t>
        </is>
      </c>
    </row>
    <row r="22">
      <c r="D22" t="inlineStr">
        <is>
          <t>Honorarios Asimilados a Salarios</t>
        </is>
      </c>
    </row>
    <row r="23">
      <c r="D23" t="inlineStr">
        <is>
          <t>Pagos a Mano de Obra Externa</t>
        </is>
      </c>
    </row>
    <row r="24">
      <c r="D24" t="inlineStr">
        <is>
          <t>Herramientas y Accesorios de Obra</t>
        </is>
      </c>
    </row>
    <row r="25">
      <c r="D25" t="inlineStr">
        <is>
          <t>Arrendamiento de Equipo y Herramienta</t>
        </is>
      </c>
    </row>
    <row r="26">
      <c r="D26" t="inlineStr">
        <is>
          <t>Hospedaje y Renta de Personal</t>
        </is>
      </c>
    </row>
    <row r="27">
      <c r="D27" t="inlineStr">
        <is>
          <t>Transporte y Traslados de Personal</t>
        </is>
      </c>
    </row>
    <row r="28">
      <c r="D28" t="inlineStr">
        <is>
          <t>Consumibles de Oficina e Industrial</t>
        </is>
      </c>
    </row>
    <row r="29">
      <c r="D29" t="inlineStr">
        <is>
          <t>Fletes y Acarreos Especiales</t>
        </is>
      </c>
    </row>
    <row r="30">
      <c r="D30" t="inlineStr">
        <is>
          <t>Maquinaria y Equipo Menor de Obra</t>
        </is>
      </c>
    </row>
    <row r="31">
      <c r="D31" t="inlineStr">
        <is>
          <t>Autorizaciones y Permisos Especiales</t>
        </is>
      </c>
    </row>
    <row r="32">
      <c r="D32" t="inlineStr">
        <is>
          <t>Mantenimiento a Vehículos de Empresa</t>
        </is>
      </c>
    </row>
    <row r="33">
      <c r="D33" t="inlineStr">
        <is>
          <t>Mantenimiento de Instalaciones y Taller</t>
        </is>
      </c>
    </row>
    <row r="34">
      <c r="D34" t="inlineStr">
        <is>
          <t>Renta de Mediciones e Instrumentos</t>
        </is>
      </c>
    </row>
    <row r="35">
      <c r="D35" t="inlineStr">
        <is>
          <t>Agua Potable y Drenaje</t>
        </is>
      </c>
    </row>
    <row r="36">
      <c r="D36" t="inlineStr">
        <is>
          <t>Electricidad y Energía Eléctrica</t>
        </is>
      </c>
    </row>
    <row r="37">
      <c r="D37" t="inlineStr">
        <is>
          <t>Mantenimiento a Activos Propios</t>
        </is>
      </c>
    </row>
    <row r="38">
      <c r="D38" t="inlineStr">
        <is>
          <t>Seguros de Responsabilidad Civil</t>
        </is>
      </c>
    </row>
    <row r="39">
      <c r="D39" t="inlineStr">
        <is>
          <t>Seguros de Equipo y Pólizas de Propiedad</t>
        </is>
      </c>
    </row>
    <row r="40">
      <c r="D40" t="inlineStr">
        <is>
          <t>Limpieza y Mantenimiento de Espacios de Obra</t>
        </is>
      </c>
    </row>
    <row r="41">
      <c r="D41" t="inlineStr">
        <is>
          <t>Gastos de Viaje Generales</t>
        </is>
      </c>
    </row>
    <row r="42">
      <c r="D42" t="inlineStr">
        <is>
          <t>Comisiones Bancarias y Financieras</t>
        </is>
      </c>
    </row>
    <row r="43">
      <c r="D43" t="inlineStr">
        <is>
          <t>Propaganda y Publicidad Comercial</t>
        </is>
      </c>
    </row>
    <row r="44">
      <c r="D44" t="inlineStr">
        <is>
          <t>Papelería y Utilería de Oficina</t>
        </is>
      </c>
    </row>
    <row r="45">
      <c r="D45" t="inlineStr">
        <is>
          <t>Fletes de Materiales y Equipos</t>
        </is>
      </c>
    </row>
    <row r="46">
      <c r="D46" t="inlineStr">
        <is>
          <t>Licencias de Software de Ingeniería/CAD</t>
        </is>
      </c>
    </row>
    <row r="47">
      <c r="D47" t="inlineStr">
        <is>
          <t>Teléfonos, Internet y Comunicaciones</t>
        </is>
      </c>
    </row>
    <row r="48">
      <c r="D48" t="inlineStr">
        <is>
          <t>Capacitación y Certificaciones de Personal</t>
        </is>
      </c>
    </row>
    <row r="49">
      <c r="D49" t="inlineStr">
        <is>
          <t>Honorarios Profesionales Personas Físicas</t>
        </is>
      </c>
    </row>
    <row r="50">
      <c r="D50" t="inlineStr">
        <is>
          <t>Honorarios Personas Morales (Empresas)</t>
        </is>
      </c>
    </row>
    <row r="51">
      <c r="D51" t="inlineStr">
        <is>
          <t>Insumos de Aseo y Limpieza</t>
        </is>
      </c>
    </row>
    <row r="52">
      <c r="D52" t="inlineStr">
        <is>
          <t>Combustible para Vehículos y Equipos</t>
        </is>
      </c>
    </row>
    <row r="53">
      <c r="D53" t="inlineStr">
        <is>
          <t>Impuestos y Derechos Estatales/Federales</t>
        </is>
      </c>
    </row>
    <row r="54">
      <c r="D54" t="inlineStr">
        <is>
          <t>Impuestos y Licencias Locales</t>
        </is>
      </c>
    </row>
    <row r="55">
      <c r="D55" t="inlineStr">
        <is>
          <t>Pasajes de Autobús y Transporte Urbano</t>
        </is>
      </c>
    </row>
    <row r="56">
      <c r="D56" t="inlineStr">
        <is>
          <t>Asesoria Técnica Especializada Externa</t>
        </is>
      </c>
    </row>
    <row r="57">
      <c r="D57" t="inlineStr">
        <is>
          <t>Herramientas Menores de Campo</t>
        </is>
      </c>
    </row>
    <row r="58">
      <c r="D58" t="inlineStr">
        <is>
          <t>Insumos y Materiales Menores de Obra</t>
        </is>
      </c>
    </row>
    <row r="59">
      <c r="D59" t="inlineStr">
        <is>
          <t>Viáticos y Gastos de Transporte Campo</t>
        </is>
      </c>
    </row>
    <row r="60">
      <c r="D60" t="inlineStr">
        <is>
          <t>Alimentos y Dietas en Campo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2026-07-28T21:26:57Z</dcterms:created>
  <dcterms:modified xmlns:dcterms="http://purl.org/dc/terms/" xmlns:xsi="http://www.w3.org/2001/XMLSchema-instance" xsi:type="dcterms:W3CDTF">2026-07-28T21:26:57Z</dcterms:modified>
</cp:coreProperties>
</file>
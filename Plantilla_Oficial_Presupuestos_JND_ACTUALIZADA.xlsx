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MAT" sheetId="3" state="visible" r:id="rId3"/>
    <sheet xmlns:r="http://schemas.openxmlformats.org/officeDocument/2006/relationships" name="MO" sheetId="4" state="visible" r:id="rId4"/>
    <sheet xmlns:r="http://schemas.openxmlformats.org/officeDocument/2006/relationships" name="GAS" sheetId="5" state="visible" r:id="rId5"/>
    <sheet xmlns:r="http://schemas.openxmlformats.org/officeDocument/2006/relationships" name="SUB" sheetId="6" state="visible" r:id="rId6"/>
    <sheet xmlns:r="http://schemas.openxmlformats.org/officeDocument/2006/relationships" name="MAQ" sheetId="7" state="visible" r:id="rId7"/>
    <sheet xmlns:r="http://schemas.openxmlformats.org/officeDocument/2006/relationships" name="PLAN" sheetId="8" state="visible" r:id="rId8"/>
    <sheet xmlns:r="http://schemas.openxmlformats.org/officeDocument/2006/relationships" name="RESUMEN DE COSTO" sheetId="9" state="visible" r:id="rId9"/>
    <sheet xmlns:r="http://schemas.openxmlformats.org/officeDocument/2006/relationships" name="B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dd"/>
    <numFmt numFmtId="166" formatCode="yyyy-mm-dd"/>
    <numFmt numFmtId="167" formatCode="0.00&quot; días&quot;"/>
    <numFmt numFmtId="168" formatCode="&quot;Partida N° &quot;0"/>
  </numFmts>
  <fonts count="21">
    <font>
      <name val="Calibri"/>
      <family val="2"/>
      <color theme="1"/>
      <sz val="11"/>
      <scheme val="minor"/>
    </font>
    <font>
      <name val="Segoe UI"/>
      <b val="1"/>
      <color rgb="00FE8C29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color rgb="0064748B"/>
      <sz val="9"/>
    </font>
    <font>
      <name val="Segoe UI"/>
      <i val="1"/>
      <color rgb="00475569"/>
      <sz val="9"/>
    </font>
    <font>
      <name val="Segoe UI"/>
      <i val="1"/>
      <color rgb="001565C0"/>
      <sz val="9"/>
    </font>
    <font>
      <name val="Segoe UI"/>
      <i val="1"/>
      <color rgb="00C0392B"/>
      <sz val="9"/>
    </font>
    <font>
      <name val="Segoe UI"/>
      <b val="1"/>
      <color rgb="00FE8C29"/>
      <sz val="11"/>
    </font>
    <font>
      <name val="Segoe UI"/>
      <b val="1"/>
      <color rgb="00FFFFFF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b val="1"/>
      <color rgb="00FE8C29"/>
      <sz val="9"/>
    </font>
    <font>
      <name val="Segoe UI"/>
      <i val="1"/>
      <color rgb="00475569"/>
      <sz val="7"/>
    </font>
    <font>
      <name val="Segoe UI"/>
      <i val="1"/>
      <color rgb="00E65100"/>
      <sz val="9"/>
    </font>
    <font>
      <name val="Segoe UI"/>
      <b val="1"/>
      <color rgb="001565C0"/>
      <sz val="10"/>
    </font>
    <font>
      <name val="Segoe UI"/>
      <b val="1"/>
      <color rgb="00E65100"/>
      <sz val="10"/>
    </font>
    <font>
      <name val="Segoe UI"/>
      <b val="1"/>
      <color rgb="00FFFFFF"/>
      <sz val="12"/>
    </font>
    <font>
      <name val="Segoe UI"/>
      <b val="1"/>
      <color rgb="00FFFFFF"/>
      <sz val="14"/>
    </font>
    <font>
      <name val="Segoe UI"/>
      <i val="1"/>
      <color rgb="0078909C"/>
      <sz val="8"/>
    </font>
    <font>
      <name val="Segoe U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34E62"/>
        <bgColor rgb="00434E62"/>
      </patternFill>
    </fill>
    <fill>
      <patternFill patternType="solid">
        <fgColor rgb="00F1F5F9"/>
        <bgColor rgb="00F1F5F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E8C29"/>
        <bgColor rgb="00FE8C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5" fillId="3" borderId="0" pivotButton="0" quotePrefix="0" xfId="0"/>
    <xf numFmtId="2" fontId="5" fillId="3" borderId="0" pivotButton="0" quotePrefix="0" xfId="0"/>
    <xf numFmtId="164" fontId="3" fillId="4" borderId="0" pivotButton="0" quotePrefix="0" xfId="0"/>
    <xf numFmtId="164" fontId="3" fillId="5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6" borderId="0" pivotButton="0" quotePrefix="0" xfId="0"/>
    <xf numFmtId="0" fontId="10" fillId="0" borderId="0" pivotButton="0" quotePrefix="0" xfId="0"/>
    <xf numFmtId="0" fontId="12" fillId="0" borderId="0" pivotButton="0" quotePrefix="0" xfId="0"/>
    <xf numFmtId="165" fontId="11" fillId="6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13" fillId="3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4" fillId="0" borderId="0" pivotButton="0" quotePrefix="0" xfId="0"/>
    <xf numFmtId="164" fontId="3" fillId="3" borderId="0" pivotButton="0" quotePrefix="0" xfId="0"/>
    <xf numFmtId="10" fontId="15" fillId="3" borderId="0" pivotButton="0" quotePrefix="0" xfId="0"/>
    <xf numFmtId="164" fontId="16" fillId="4" borderId="0" pivotButton="0" quotePrefix="0" xfId="0"/>
    <xf numFmtId="164" fontId="8" fillId="0" borderId="0" pivotButton="0" quotePrefix="0" xfId="0"/>
    <xf numFmtId="10" fontId="8" fillId="0" borderId="0" pivotButton="0" quotePrefix="0" xfId="0"/>
    <xf numFmtId="164" fontId="17" fillId="6" borderId="0" pivotButton="0" quotePrefix="0" xfId="0"/>
    <xf numFmtId="164" fontId="18" fillId="6" borderId="0" pivotButton="0" quotePrefix="0" xfId="0"/>
    <xf numFmtId="0" fontId="19" fillId="0" borderId="0" pivotButton="0" quotePrefix="0" xfId="0"/>
    <xf numFmtId="0" fontId="2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E8C29"/>
          <bgColor rgb="00FE8C29"/>
        </patternFill>
      </fill>
    </dxf>
    <dxf>
      <fill>
        <patternFill patternType="solid">
          <fgColor rgb="0010B981"/>
          <bgColor rgb="0010B981"/>
        </patternFill>
      </fill>
    </dxf>
    <dxf>
      <fill>
        <patternFill patternType="solid">
          <fgColor rgb="003B82F6"/>
          <bgColor rgb="003B82F6"/>
        </patternFill>
      </fill>
    </dxf>
    <dxf>
      <fill>
        <patternFill patternType="solid">
          <fgColor rgb="00EF4444"/>
          <b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</cols>
  <sheetData>
    <row r="1">
      <c r="A1" s="1" t="inlineStr">
        <is>
          <t>PASO 1 — SELECCIÓN DE CLIENTE Y DATOS DEL PROYECTO</t>
        </is>
      </c>
    </row>
    <row r="3" ht="30" customHeight="1">
      <c r="A3" s="2" t="inlineStr">
        <is>
          <t>Campo / Parámetro</t>
        </is>
      </c>
      <c r="B3" s="2" t="inlineStr">
        <is>
          <t>Valor (Presupuestador)</t>
        </is>
      </c>
      <c r="C3" s="2" t="inlineStr">
        <is>
          <t>Instrucciones de Captura</t>
        </is>
      </c>
    </row>
    <row r="4">
      <c r="A4" s="3" t="inlineStr">
        <is>
          <t>Cliente (Seleccionar de Lista)</t>
        </is>
      </c>
      <c r="B4" t="inlineStr">
        <is>
          <t>J&amp;D AUTOMATION INTERNO</t>
        </is>
      </c>
      <c r="C4" s="4" t="inlineStr">
        <is>
          <t>Selecciona el cliente de la lista desplegable → BD!F</t>
        </is>
      </c>
    </row>
    <row r="5">
      <c r="A5" s="3" t="inlineStr">
        <is>
          <t>Nombre del Proyecto</t>
        </is>
      </c>
      <c r="B5" t="inlineStr">
        <is>
          <t>AUTOMATIZACIÓN DE LÍNEA DE PROCESO</t>
        </is>
      </c>
      <c r="C5" s="4" t="inlineStr">
        <is>
          <t>Nombre técnico oficial del proyecto</t>
        </is>
      </c>
    </row>
    <row r="6">
      <c r="A6" s="3" t="inlineStr">
        <is>
          <t>Ingeniero Responsable / Presupuestador</t>
        </is>
      </c>
      <c r="B6" t="inlineStr">
        <is>
          <t>DS</t>
        </is>
      </c>
      <c r="C6" s="4" t="inlineStr">
        <is>
          <t>Iniciales del presupuestador (ej: DS, RG, JM)</t>
        </is>
      </c>
    </row>
    <row r="7">
      <c r="A7" s="3" t="inlineStr">
        <is>
          <t>Tipo de Cambio USD (FIX)</t>
        </is>
      </c>
      <c r="B7" t="n">
        <v>18</v>
      </c>
      <c r="C7" s="4" t="inlineStr">
        <is>
          <t>Tipo de cambio MXN por 1 USD para conversiones</t>
        </is>
      </c>
    </row>
  </sheetData>
  <dataValidations count="1">
    <dataValidation sqref="B4" showDropDown="0" showInputMessage="0" showErrorMessage="0" allowBlank="1" type="list">
      <formula1>BD!$G$2:$G$5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65" customWidth="1" min="3" max="3"/>
  </cols>
  <sheetData>
    <row r="1">
      <c r="A1" s="1" t="inlineStr">
        <is>
          <t>PASO 2 — DEFINICIÓN DE PARTIDAS Y ESTRUCTURA WBS</t>
        </is>
      </c>
    </row>
    <row r="3" ht="30" customHeight="1">
      <c r="A3" s="2" t="inlineStr">
        <is>
          <t>N° Partida WBS</t>
        </is>
      </c>
      <c r="B3" s="2" t="inlineStr">
        <is>
          <t>Nombre / Concepto de la Partida WBS</t>
        </is>
      </c>
      <c r="C3" s="2" t="inlineStr">
        <is>
          <t>Alcance General y Especificaciones Técnicas</t>
        </is>
      </c>
    </row>
    <row r="4">
      <c r="A4" s="5" t="n">
        <v>1</v>
      </c>
      <c r="B4" s="3" t="inlineStr">
        <is>
          <t>Gabinete de Control Principal PLC</t>
        </is>
      </c>
      <c r="C4" t="inlineStr">
        <is>
          <t>Suministro, ensamble y cableado de tablero principal NEMA 12</t>
        </is>
      </c>
    </row>
    <row r="5">
      <c r="A5" s="5" t="n">
        <v>2</v>
      </c>
      <c r="B5" s="3" t="inlineStr">
        <is>
          <t>Programación de PLC y Pantalla HMI</t>
        </is>
      </c>
      <c r="C5" t="inlineStr">
        <is>
          <t>Desarrollo de lógica de control, pantallas HMI y pruebas FAT/SAT</t>
        </is>
      </c>
    </row>
    <row r="6">
      <c r="A6" s="5" t="n">
        <v>3</v>
      </c>
      <c r="B6" s="3" t="inlineStr">
        <is>
          <t>Instalación Eléctrica e Integración en Planta</t>
        </is>
      </c>
      <c r="C6" t="inlineStr">
        <is>
          <t>Tendido de tubería conduit, cableado de campo y puesta en marcha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C0DA"/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16" customWidth="1" min="7" max="7"/>
  </cols>
  <sheetData>
    <row r="1">
      <c r="A1" s="1" t="inlineStr">
        <is>
          <t>PASO 3.1 — DETALLE DE MATERIALES Y COMPONENTES POR PARTIDA</t>
        </is>
      </c>
    </row>
    <row r="3" ht="30" customHeight="1">
      <c r="A3" s="2" t="inlineStr">
        <is>
          <t>Partida N°</t>
        </is>
      </c>
      <c r="B3" s="2" t="inlineStr">
        <is>
          <t>Partida WBS (Auto)</t>
        </is>
      </c>
      <c r="C3" s="2" t="inlineStr">
        <is>
          <t>Concepto / Material</t>
        </is>
      </c>
      <c r="D3" s="2" t="inlineStr">
        <is>
          <t>Especificación / Marca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Precio Unitario</t>
        </is>
      </c>
      <c r="H3" s="2" t="inlineStr">
        <is>
          <t>Moneda (MXN/USD)</t>
        </is>
      </c>
    </row>
    <row r="4">
      <c r="A4" s="5" t="n">
        <v>1</v>
      </c>
      <c r="B4" s="6">
        <f>IFERROR(VLOOKUP(A4,WBS!A$4:B$200,2,FALSE),"")</f>
        <v/>
      </c>
      <c r="C4" s="3" t="inlineStr">
        <is>
          <t>PLC CompactLogix 5380</t>
        </is>
      </c>
      <c r="D4" t="inlineStr">
        <is>
          <t>Allen Bradley 5069-L310ER</t>
        </is>
      </c>
      <c r="E4" t="n">
        <v>1</v>
      </c>
      <c r="F4" t="inlineStr">
        <is>
          <t>PZA</t>
        </is>
      </c>
      <c r="G4" s="7" t="n">
        <v>2500</v>
      </c>
      <c r="H4" s="5" t="inlineStr">
        <is>
          <t>USD</t>
        </is>
      </c>
    </row>
    <row r="5">
      <c r="A5" s="5" t="n">
        <v>1</v>
      </c>
      <c r="B5" s="6">
        <f>IFERROR(VLOOKUP(A5,WBS!A$4:B$200,2,FALSE),"")</f>
        <v/>
      </c>
      <c r="C5" s="3" t="inlineStr">
        <is>
          <t>Fuente de Alimentación 24VDC 10A</t>
        </is>
      </c>
      <c r="D5" t="inlineStr">
        <is>
          <t>Phoenix Contact Quint Power</t>
        </is>
      </c>
      <c r="E5" t="n">
        <v>2</v>
      </c>
      <c r="F5" t="inlineStr">
        <is>
          <t>PZA</t>
        </is>
      </c>
      <c r="G5" s="7" t="n">
        <v>1850</v>
      </c>
      <c r="H5" s="5" t="inlineStr">
        <is>
          <t>MXN</t>
        </is>
      </c>
    </row>
    <row r="6">
      <c r="A6" s="5" t="n">
        <v>2</v>
      </c>
      <c r="B6" s="6">
        <f>IFERROR(VLOOKUP(A6,WBS!A$4:B$200,2,FALSE),"")</f>
        <v/>
      </c>
      <c r="C6" s="3" t="inlineStr">
        <is>
          <t>Licencia de Software Studio 5000</t>
        </is>
      </c>
      <c r="D6" t="inlineStr">
        <is>
          <t>Rockwell Automation Professional</t>
        </is>
      </c>
      <c r="E6" t="n">
        <v>1</v>
      </c>
      <c r="F6" t="inlineStr">
        <is>
          <t>LIC</t>
        </is>
      </c>
      <c r="G6" s="7" t="n">
        <v>3200</v>
      </c>
      <c r="H6" s="5" t="inlineStr">
        <is>
          <t>USD</t>
        </is>
      </c>
    </row>
    <row r="7">
      <c r="B7" s="6">
        <f>IFERROR(VLOOKUP(A7,WBS!A$4:B$200,2,FALSE),"")</f>
        <v/>
      </c>
    </row>
    <row r="8">
      <c r="B8" s="6">
        <f>IFERROR(VLOOKUP(A8,WBS!A$4:B$200,2,FALSE),"")</f>
        <v/>
      </c>
    </row>
    <row r="9">
      <c r="B9" s="6">
        <f>IFERROR(VLOOKUP(A9,WBS!A$4:B$200,2,FALSE),"")</f>
        <v/>
      </c>
    </row>
    <row r="10">
      <c r="B10" s="6">
        <f>IFERROR(VLOOKUP(A10,WBS!A$4:B$200,2,FALSE),"")</f>
        <v/>
      </c>
    </row>
    <row r="11">
      <c r="B11" s="6">
        <f>IFERROR(VLOOKUP(A11,WBS!A$4:B$200,2,FALSE),"")</f>
        <v/>
      </c>
    </row>
    <row r="12">
      <c r="B12" s="6">
        <f>IFERROR(VLOOKUP(A12,WBS!A$4:B$200,2,FALSE),"")</f>
        <v/>
      </c>
    </row>
    <row r="13">
      <c r="B13" s="6">
        <f>IFERROR(VLOOKUP(A13,WBS!A$4:B$200,2,FALSE),"")</f>
        <v/>
      </c>
    </row>
    <row r="14">
      <c r="B14" s="6">
        <f>IFERROR(VLOOKUP(A14,WBS!A$4:B$200,2,FALSE),"")</f>
        <v/>
      </c>
    </row>
    <row r="15">
      <c r="B15" s="6">
        <f>IFERROR(VLOOKUP(A15,WBS!A$4:B$200,2,FALSE),"")</f>
        <v/>
      </c>
    </row>
    <row r="16">
      <c r="B16" s="6">
        <f>IFERROR(VLOOKUP(A16,WBS!A$4:B$200,2,FALSE),"")</f>
        <v/>
      </c>
    </row>
    <row r="17">
      <c r="B17" s="6">
        <f>IFERROR(VLOOKUP(A17,WBS!A$4:B$200,2,FALSE),"")</f>
        <v/>
      </c>
    </row>
    <row r="18">
      <c r="B18" s="6">
        <f>IFERROR(VLOOKUP(A18,WBS!A$4:B$200,2,FALSE),"")</f>
        <v/>
      </c>
    </row>
    <row r="19">
      <c r="B19" s="6">
        <f>IFERROR(VLOOKUP(A19,WBS!A$4:B$200,2,FALSE),"")</f>
        <v/>
      </c>
    </row>
    <row r="20">
      <c r="B20" s="6">
        <f>IFERROR(VLOOKUP(A20,WBS!A$4:B$200,2,FALSE),"")</f>
        <v/>
      </c>
    </row>
    <row r="21">
      <c r="B21" s="6">
        <f>IFERROR(VLOOKUP(A21,WBS!A$4:B$200,2,FALSE),"")</f>
        <v/>
      </c>
    </row>
    <row r="22">
      <c r="B22" s="6">
        <f>IFERROR(VLOOKUP(A22,WBS!A$4:B$200,2,FALSE),"")</f>
        <v/>
      </c>
    </row>
    <row r="23">
      <c r="B23" s="6">
        <f>IFERROR(VLOOKUP(A23,WBS!A$4:B$200,2,FALSE),"")</f>
        <v/>
      </c>
    </row>
    <row r="24">
      <c r="B24" s="6">
        <f>IFERROR(VLOOKUP(A24,WBS!A$4:B$200,2,FALSE),"")</f>
        <v/>
      </c>
    </row>
    <row r="25">
      <c r="B25" s="6">
        <f>IFERROR(VLOOKUP(A25,WBS!A$4:B$200,2,FALSE),"")</f>
        <v/>
      </c>
    </row>
    <row r="26">
      <c r="B26" s="6">
        <f>IFERROR(VLOOKUP(A26,WBS!A$4:B$200,2,FALSE),"")</f>
        <v/>
      </c>
    </row>
    <row r="27">
      <c r="B27" s="6">
        <f>IFERROR(VLOOKUP(A27,WBS!A$4:B$200,2,FALSE),"")</f>
        <v/>
      </c>
    </row>
    <row r="28">
      <c r="B28" s="6">
        <f>IFERROR(VLOOKUP(A28,WBS!A$4:B$200,2,FALSE),"")</f>
        <v/>
      </c>
    </row>
    <row r="29">
      <c r="B29" s="6">
        <f>IFERROR(VLOOKUP(A29,WBS!A$4:B$200,2,FALSE),"")</f>
        <v/>
      </c>
    </row>
    <row r="30">
      <c r="B30" s="6">
        <f>IFERROR(VLOOKUP(A30,WBS!A$4:B$200,2,FALSE),"")</f>
        <v/>
      </c>
    </row>
    <row r="31">
      <c r="B31" s="6">
        <f>IFERROR(VLOOKUP(A31,WBS!A$4:B$200,2,FALSE),"")</f>
        <v/>
      </c>
    </row>
    <row r="32">
      <c r="B32" s="6">
        <f>IFERROR(VLOOKUP(A32,WBS!A$4:B$200,2,FALSE),"")</f>
        <v/>
      </c>
    </row>
    <row r="33">
      <c r="B33" s="6">
        <f>IFERROR(VLOOKUP(A33,WBS!A$4:B$200,2,FALSE),"")</f>
        <v/>
      </c>
    </row>
    <row r="34">
      <c r="B34" s="6">
        <f>IFERROR(VLOOKUP(A34,WBS!A$4:B$200,2,FALSE),"")</f>
        <v/>
      </c>
    </row>
    <row r="35">
      <c r="B35" s="6">
        <f>IFERROR(VLOOKUP(A35,WBS!A$4:B$200,2,FALSE),"")</f>
        <v/>
      </c>
    </row>
    <row r="36">
      <c r="B36" s="6">
        <f>IFERROR(VLOOKUP(A36,WBS!A$4:B$200,2,FALSE),"")</f>
        <v/>
      </c>
    </row>
    <row r="37">
      <c r="B37" s="6">
        <f>IFERROR(VLOOKUP(A37,WBS!A$4:B$200,2,FALSE),"")</f>
        <v/>
      </c>
    </row>
    <row r="38">
      <c r="B38" s="6">
        <f>IFERROR(VLOOKUP(A38,WBS!A$4:B$200,2,FALSE),"")</f>
        <v/>
      </c>
    </row>
    <row r="39">
      <c r="B39" s="6">
        <f>IFERROR(VLOOKUP(A39,WBS!A$4:B$200,2,FALSE),"")</f>
        <v/>
      </c>
    </row>
    <row r="40">
      <c r="B40" s="6">
        <f>IFERROR(VLOOKUP(A40,WBS!A$4:B$200,2,FALSE),"")</f>
        <v/>
      </c>
    </row>
    <row r="41">
      <c r="B41" s="6">
        <f>IFERROR(VLOOKUP(A41,WBS!A$4:B$200,2,FALSE),"")</f>
        <v/>
      </c>
    </row>
    <row r="42">
      <c r="B42" s="6">
        <f>IFERROR(VLOOKUP(A42,WBS!A$4:B$200,2,FALSE),"")</f>
        <v/>
      </c>
    </row>
    <row r="43">
      <c r="B43" s="6">
        <f>IFERROR(VLOOKUP(A43,WBS!A$4:B$200,2,FALSE),"")</f>
        <v/>
      </c>
    </row>
    <row r="44">
      <c r="B44" s="6">
        <f>IFERROR(VLOOKUP(A44,WBS!A$4:B$200,2,FALSE),"")</f>
        <v/>
      </c>
    </row>
    <row r="45">
      <c r="B45" s="6">
        <f>IFERROR(VLOOKUP(A45,WBS!A$4:B$200,2,FALSE),"")</f>
        <v/>
      </c>
    </row>
    <row r="46">
      <c r="B46" s="6">
        <f>IFERROR(VLOOKUP(A46,WBS!A$4:B$200,2,FALSE),"")</f>
        <v/>
      </c>
    </row>
    <row r="47">
      <c r="B47" s="6">
        <f>IFERROR(VLOOKUP(A47,WBS!A$4:B$200,2,FALSE),"")</f>
        <v/>
      </c>
    </row>
    <row r="48">
      <c r="B48" s="6">
        <f>IFERROR(VLOOKUP(A48,WBS!A$4:B$200,2,FALSE),"")</f>
        <v/>
      </c>
    </row>
    <row r="49">
      <c r="B49" s="6">
        <f>IFERROR(VLOOKUP(A49,WBS!A$4:B$200,2,FALSE),"")</f>
        <v/>
      </c>
    </row>
    <row r="50">
      <c r="B50" s="6">
        <f>IFERROR(VLOOKUP(A50,WBS!A$4:B$200,2,FALSE),"")</f>
        <v/>
      </c>
    </row>
    <row r="51">
      <c r="B51" s="6">
        <f>IFERROR(VLOOKUP(A51,WBS!A$4:B$200,2,FALSE),"")</f>
        <v/>
      </c>
    </row>
    <row r="52">
      <c r="B52" s="6">
        <f>IFERROR(VLOOKUP(A52,WBS!A$4:B$200,2,FALSE),"")</f>
        <v/>
      </c>
    </row>
    <row r="53">
      <c r="B53" s="6">
        <f>IFERROR(VLOOKUP(A53,WBS!A$4:B$200,2,FALSE),"")</f>
        <v/>
      </c>
    </row>
    <row r="54">
      <c r="B54" s="6">
        <f>IFERROR(VLOOKUP(A54,WBS!A$4:B$200,2,FALSE),"")</f>
        <v/>
      </c>
    </row>
    <row r="55">
      <c r="B55" s="6">
        <f>IFERROR(VLOOKUP(A55,WBS!A$4:B$200,2,FALSE),"")</f>
        <v/>
      </c>
    </row>
    <row r="56">
      <c r="B56" s="6">
        <f>IFERROR(VLOOKUP(A56,WBS!A$4:B$200,2,FALSE),"")</f>
        <v/>
      </c>
    </row>
    <row r="57">
      <c r="B57" s="6">
        <f>IFERROR(VLOOKUP(A57,WBS!A$4:B$200,2,FALSE),"")</f>
        <v/>
      </c>
    </row>
    <row r="58">
      <c r="B58" s="6">
        <f>IFERROR(VLOOKUP(A58,WBS!A$4:B$200,2,FALSE),"")</f>
        <v/>
      </c>
    </row>
    <row r="59">
      <c r="B59" s="6">
        <f>IFERROR(VLOOKUP(A59,WBS!A$4:B$200,2,FALSE),"")</f>
        <v/>
      </c>
    </row>
    <row r="60">
      <c r="B60" s="6">
        <f>IFERROR(VLOOKUP(A60,WBS!A$4:B$200,2,FALSE),"")</f>
        <v/>
      </c>
    </row>
    <row r="61">
      <c r="B61" s="6">
        <f>IFERROR(VLOOKUP(A61,WBS!A$4:B$200,2,FALSE),"")</f>
        <v/>
      </c>
    </row>
    <row r="62">
      <c r="B62" s="6">
        <f>IFERROR(VLOOKUP(A62,WBS!A$4:B$200,2,FALSE),"")</f>
        <v/>
      </c>
    </row>
    <row r="63">
      <c r="B63" s="6">
        <f>IFERROR(VLOOKUP(A63,WBS!A$4:B$200,2,FALSE),"")</f>
        <v/>
      </c>
    </row>
    <row r="64">
      <c r="B64" s="6">
        <f>IFERROR(VLOOKUP(A64,WBS!A$4:B$200,2,FALSE),"")</f>
        <v/>
      </c>
    </row>
    <row r="65">
      <c r="B65" s="6">
        <f>IFERROR(VLOOKUP(A65,WBS!A$4:B$200,2,FALSE),"")</f>
        <v/>
      </c>
    </row>
    <row r="66">
      <c r="B66" s="6">
        <f>IFERROR(VLOOKUP(A66,WBS!A$4:B$200,2,FALSE),"")</f>
        <v/>
      </c>
    </row>
    <row r="67">
      <c r="B67" s="6">
        <f>IFERROR(VLOOKUP(A67,WBS!A$4:B$200,2,FALSE),"")</f>
        <v/>
      </c>
    </row>
    <row r="68">
      <c r="B68" s="6">
        <f>IFERROR(VLOOKUP(A68,WBS!A$4:B$200,2,FALSE),"")</f>
        <v/>
      </c>
    </row>
    <row r="69">
      <c r="B69" s="6">
        <f>IFERROR(VLOOKUP(A69,WBS!A$4:B$200,2,FALSE),"")</f>
        <v/>
      </c>
    </row>
    <row r="70">
      <c r="B70" s="6">
        <f>IFERROR(VLOOKUP(A70,WBS!A$4:B$200,2,FALSE),"")</f>
        <v/>
      </c>
    </row>
    <row r="71">
      <c r="B71" s="6">
        <f>IFERROR(VLOOKUP(A71,WBS!A$4:B$200,2,FALSE),"")</f>
        <v/>
      </c>
    </row>
    <row r="72">
      <c r="B72" s="6">
        <f>IFERROR(VLOOKUP(A72,WBS!A$4:B$200,2,FALSE),"")</f>
        <v/>
      </c>
    </row>
    <row r="73">
      <c r="B73" s="6">
        <f>IFERROR(VLOOKUP(A73,WBS!A$4:B$200,2,FALSE),"")</f>
        <v/>
      </c>
    </row>
    <row r="74">
      <c r="B74" s="6">
        <f>IFERROR(VLOOKUP(A74,WBS!A$4:B$200,2,FALSE),"")</f>
        <v/>
      </c>
    </row>
    <row r="75">
      <c r="B75" s="6">
        <f>IFERROR(VLOOKUP(A75,WBS!A$4:B$200,2,FALSE),"")</f>
        <v/>
      </c>
    </row>
    <row r="76">
      <c r="B76" s="6">
        <f>IFERROR(VLOOKUP(A76,WBS!A$4:B$200,2,FALSE),"")</f>
        <v/>
      </c>
    </row>
    <row r="77">
      <c r="B77" s="6">
        <f>IFERROR(VLOOKUP(A77,WBS!A$4:B$200,2,FALSE),"")</f>
        <v/>
      </c>
    </row>
    <row r="78">
      <c r="B78" s="6">
        <f>IFERROR(VLOOKUP(A78,WBS!A$4:B$200,2,FALSE),"")</f>
        <v/>
      </c>
    </row>
    <row r="79">
      <c r="B79" s="6">
        <f>IFERROR(VLOOKUP(A79,WBS!A$4:B$200,2,FALSE),"")</f>
        <v/>
      </c>
    </row>
    <row r="80">
      <c r="B80" s="6">
        <f>IFERROR(VLOOKUP(A80,WBS!A$4:B$200,2,FALSE),"")</f>
        <v/>
      </c>
    </row>
    <row r="81">
      <c r="B81" s="6">
        <f>IFERROR(VLOOKUP(A81,WBS!A$4:B$200,2,FALSE),"")</f>
        <v/>
      </c>
    </row>
    <row r="82">
      <c r="B82" s="6">
        <f>IFERROR(VLOOKUP(A82,WBS!A$4:B$200,2,FALSE),"")</f>
        <v/>
      </c>
    </row>
    <row r="83">
      <c r="B83" s="6">
        <f>IFERROR(VLOOKUP(A83,WBS!A$4:B$200,2,FALSE),"")</f>
        <v/>
      </c>
    </row>
    <row r="84">
      <c r="B84" s="6">
        <f>IFERROR(VLOOKUP(A84,WBS!A$4:B$200,2,FALSE),"")</f>
        <v/>
      </c>
    </row>
    <row r="85">
      <c r="B85" s="6">
        <f>IFERROR(VLOOKUP(A85,WBS!A$4:B$200,2,FALSE),"")</f>
        <v/>
      </c>
    </row>
    <row r="86">
      <c r="B86" s="6">
        <f>IFERROR(VLOOKUP(A86,WBS!A$4:B$200,2,FALSE),"")</f>
        <v/>
      </c>
    </row>
    <row r="87">
      <c r="B87" s="6">
        <f>IFERROR(VLOOKUP(A87,WBS!A$4:B$200,2,FALSE),"")</f>
        <v/>
      </c>
    </row>
    <row r="88">
      <c r="B88" s="6">
        <f>IFERROR(VLOOKUP(A88,WBS!A$4:B$200,2,FALSE),"")</f>
        <v/>
      </c>
    </row>
    <row r="89">
      <c r="B89" s="6">
        <f>IFERROR(VLOOKUP(A89,WBS!A$4:B$200,2,FALSE),"")</f>
        <v/>
      </c>
    </row>
    <row r="90">
      <c r="B90" s="6">
        <f>IFERROR(VLOOKUP(A90,WBS!A$4:B$200,2,FALSE),"")</f>
        <v/>
      </c>
    </row>
    <row r="91">
      <c r="B91" s="6">
        <f>IFERROR(VLOOKUP(A91,WBS!A$4:B$200,2,FALSE),"")</f>
        <v/>
      </c>
    </row>
    <row r="92">
      <c r="B92" s="6">
        <f>IFERROR(VLOOKUP(A92,WBS!A$4:B$200,2,FALSE),"")</f>
        <v/>
      </c>
    </row>
    <row r="93">
      <c r="B93" s="6">
        <f>IFERROR(VLOOKUP(A93,WBS!A$4:B$200,2,FALSE),"")</f>
        <v/>
      </c>
    </row>
    <row r="94">
      <c r="B94" s="6">
        <f>IFERROR(VLOOKUP(A94,WBS!A$4:B$200,2,FALSE),"")</f>
        <v/>
      </c>
    </row>
    <row r="95">
      <c r="B95" s="6">
        <f>IFERROR(VLOOKUP(A95,WBS!A$4:B$200,2,FALSE),"")</f>
        <v/>
      </c>
    </row>
    <row r="96">
      <c r="B96" s="6">
        <f>IFERROR(VLOOKUP(A96,WBS!A$4:B$200,2,FALSE),"")</f>
        <v/>
      </c>
    </row>
    <row r="97">
      <c r="B97" s="6">
        <f>IFERROR(VLOOKUP(A97,WBS!A$4:B$200,2,FALSE),"")</f>
        <v/>
      </c>
    </row>
    <row r="98">
      <c r="B98" s="6">
        <f>IFERROR(VLOOKUP(A98,WBS!A$4:B$200,2,FALSE),"")</f>
        <v/>
      </c>
    </row>
    <row r="99">
      <c r="B99" s="6">
        <f>IFERROR(VLOOKUP(A99,WBS!A$4:B$200,2,FALSE),"")</f>
        <v/>
      </c>
    </row>
    <row r="100">
      <c r="B100" s="6">
        <f>IFERROR(VLOOKUP(A100,WBS!A$4:B$200,2,FALSE),"")</f>
        <v/>
      </c>
    </row>
    <row r="101">
      <c r="B101" s="6">
        <f>IFERROR(VLOOKUP(A101,WBS!A$4:B$200,2,FALSE),"")</f>
        <v/>
      </c>
    </row>
    <row r="102">
      <c r="B102" s="6">
        <f>IFERROR(VLOOKUP(A102,WBS!A$4:B$200,2,FALSE),"")</f>
        <v/>
      </c>
    </row>
    <row r="103">
      <c r="B103" s="6">
        <f>IFERROR(VLOOKUP(A103,WBS!A$4:B$200,2,FALSE),"")</f>
        <v/>
      </c>
    </row>
    <row r="104">
      <c r="B104" s="6">
        <f>IFERROR(VLOOKUP(A104,WBS!A$4:B$200,2,FALSE),"")</f>
        <v/>
      </c>
    </row>
    <row r="105">
      <c r="B105" s="6">
        <f>IFERROR(VLOOKUP(A105,WBS!A$4:B$200,2,FALSE),"")</f>
        <v/>
      </c>
    </row>
    <row r="106">
      <c r="B106" s="6">
        <f>IFERROR(VLOOKUP(A106,WBS!A$4:B$200,2,FALSE),"")</f>
        <v/>
      </c>
    </row>
    <row r="107">
      <c r="B107" s="6">
        <f>IFERROR(VLOOKUP(A107,WBS!A$4:B$200,2,FALSE),"")</f>
        <v/>
      </c>
    </row>
    <row r="108">
      <c r="B108" s="6">
        <f>IFERROR(VLOOKUP(A108,WBS!A$4:B$200,2,FALSE),"")</f>
        <v/>
      </c>
    </row>
    <row r="109">
      <c r="B109" s="6">
        <f>IFERROR(VLOOKUP(A109,WBS!A$4:B$200,2,FALSE),"")</f>
        <v/>
      </c>
    </row>
    <row r="110">
      <c r="B110" s="6">
        <f>IFERROR(VLOOKUP(A110,WBS!A$4:B$200,2,FALSE),"")</f>
        <v/>
      </c>
    </row>
    <row r="111">
      <c r="B111" s="6">
        <f>IFERROR(VLOOKUP(A111,WBS!A$4:B$200,2,FALSE),"")</f>
        <v/>
      </c>
    </row>
    <row r="112">
      <c r="B112" s="6">
        <f>IFERROR(VLOOKUP(A112,WBS!A$4:B$200,2,FALSE),"")</f>
        <v/>
      </c>
    </row>
    <row r="113">
      <c r="B113" s="6">
        <f>IFERROR(VLOOKUP(A113,WBS!A$4:B$200,2,FALSE),"")</f>
        <v/>
      </c>
    </row>
    <row r="114">
      <c r="B114" s="6">
        <f>IFERROR(VLOOKUP(A114,WBS!A$4:B$200,2,FALSE),"")</f>
        <v/>
      </c>
    </row>
    <row r="115">
      <c r="B115" s="6">
        <f>IFERROR(VLOOKUP(A115,WBS!A$4:B$200,2,FALSE),"")</f>
        <v/>
      </c>
    </row>
    <row r="116">
      <c r="B116" s="6">
        <f>IFERROR(VLOOKUP(A116,WBS!A$4:B$200,2,FALSE),"")</f>
        <v/>
      </c>
    </row>
    <row r="117">
      <c r="B117" s="6">
        <f>IFERROR(VLOOKUP(A117,WBS!A$4:B$200,2,FALSE),"")</f>
        <v/>
      </c>
    </row>
    <row r="118">
      <c r="B118" s="6">
        <f>IFERROR(VLOOKUP(A118,WBS!A$4:B$200,2,FALSE),"")</f>
        <v/>
      </c>
    </row>
    <row r="119">
      <c r="B119" s="6">
        <f>IFERROR(VLOOKUP(A119,WBS!A$4:B$200,2,FALSE),"")</f>
        <v/>
      </c>
    </row>
    <row r="120">
      <c r="B120" s="6">
        <f>IFERROR(VLOOKUP(A120,WBS!A$4:B$200,2,FALSE),"")</f>
        <v/>
      </c>
    </row>
    <row r="121">
      <c r="B121" s="6">
        <f>IFERROR(VLOOKUP(A121,WBS!A$4:B$200,2,FALSE),"")</f>
        <v/>
      </c>
    </row>
    <row r="122">
      <c r="B122" s="6">
        <f>IFERROR(VLOOKUP(A122,WBS!A$4:B$200,2,FALSE),"")</f>
        <v/>
      </c>
    </row>
    <row r="123">
      <c r="B123" s="6">
        <f>IFERROR(VLOOKUP(A123,WBS!A$4:B$200,2,FALSE),"")</f>
        <v/>
      </c>
    </row>
    <row r="124">
      <c r="B124" s="6">
        <f>IFERROR(VLOOKUP(A124,WBS!A$4:B$200,2,FALSE),"")</f>
        <v/>
      </c>
    </row>
    <row r="125">
      <c r="B125" s="6">
        <f>IFERROR(VLOOKUP(A125,WBS!A$4:B$200,2,FALSE),"")</f>
        <v/>
      </c>
    </row>
    <row r="126">
      <c r="B126" s="6">
        <f>IFERROR(VLOOKUP(A126,WBS!A$4:B$200,2,FALSE),"")</f>
        <v/>
      </c>
    </row>
    <row r="127">
      <c r="B127" s="6">
        <f>IFERROR(VLOOKUP(A127,WBS!A$4:B$200,2,FALSE),"")</f>
        <v/>
      </c>
    </row>
    <row r="128">
      <c r="B128" s="6">
        <f>IFERROR(VLOOKUP(A128,WBS!A$4:B$200,2,FALSE),"")</f>
        <v/>
      </c>
    </row>
    <row r="129">
      <c r="B129" s="6">
        <f>IFERROR(VLOOKUP(A129,WBS!A$4:B$200,2,FALSE),"")</f>
        <v/>
      </c>
    </row>
    <row r="130">
      <c r="B130" s="6">
        <f>IFERROR(VLOOKUP(A130,WBS!A$4:B$200,2,FALSE),"")</f>
        <v/>
      </c>
    </row>
    <row r="131">
      <c r="B131" s="6">
        <f>IFERROR(VLOOKUP(A131,WBS!A$4:B$200,2,FALSE),"")</f>
        <v/>
      </c>
    </row>
    <row r="132">
      <c r="B132" s="6">
        <f>IFERROR(VLOOKUP(A132,WBS!A$4:B$200,2,FALSE),"")</f>
        <v/>
      </c>
    </row>
    <row r="133">
      <c r="B133" s="6">
        <f>IFERROR(VLOOKUP(A133,WBS!A$4:B$200,2,FALSE),"")</f>
        <v/>
      </c>
    </row>
    <row r="134">
      <c r="B134" s="6">
        <f>IFERROR(VLOOKUP(A134,WBS!A$4:B$200,2,FALSE),"")</f>
        <v/>
      </c>
    </row>
    <row r="135">
      <c r="B135" s="6">
        <f>IFERROR(VLOOKUP(A135,WBS!A$4:B$200,2,FALSE),"")</f>
        <v/>
      </c>
    </row>
    <row r="136">
      <c r="B136" s="6">
        <f>IFERROR(VLOOKUP(A136,WBS!A$4:B$200,2,FALSE),"")</f>
        <v/>
      </c>
    </row>
    <row r="137">
      <c r="B137" s="6">
        <f>IFERROR(VLOOKUP(A137,WBS!A$4:B$200,2,FALSE),"")</f>
        <v/>
      </c>
    </row>
    <row r="138">
      <c r="B138" s="6">
        <f>IFERROR(VLOOKUP(A138,WBS!A$4:B$200,2,FALSE),"")</f>
        <v/>
      </c>
    </row>
    <row r="139">
      <c r="B139" s="6">
        <f>IFERROR(VLOOKUP(A139,WBS!A$4:B$200,2,FALSE),"")</f>
        <v/>
      </c>
    </row>
    <row r="140">
      <c r="B140" s="6">
        <f>IFERROR(VLOOKUP(A140,WBS!A$4:B$200,2,FALSE),"")</f>
        <v/>
      </c>
    </row>
    <row r="141">
      <c r="B141" s="6">
        <f>IFERROR(VLOOKUP(A141,WBS!A$4:B$200,2,FALSE),"")</f>
        <v/>
      </c>
    </row>
    <row r="142">
      <c r="B142" s="6">
        <f>IFERROR(VLOOKUP(A142,WBS!A$4:B$200,2,FALSE),"")</f>
        <v/>
      </c>
    </row>
    <row r="143">
      <c r="B143" s="6">
        <f>IFERROR(VLOOKUP(A143,WBS!A$4:B$200,2,FALSE),"")</f>
        <v/>
      </c>
    </row>
    <row r="144">
      <c r="B144" s="6">
        <f>IFERROR(VLOOKUP(A144,WBS!A$4:B$200,2,FALSE),"")</f>
        <v/>
      </c>
    </row>
    <row r="145">
      <c r="B145" s="6">
        <f>IFERROR(VLOOKUP(A145,WBS!A$4:B$200,2,FALSE),"")</f>
        <v/>
      </c>
    </row>
    <row r="146">
      <c r="B146" s="6">
        <f>IFERROR(VLOOKUP(A146,WBS!A$4:B$200,2,FALSE),"")</f>
        <v/>
      </c>
    </row>
    <row r="147">
      <c r="B147" s="6">
        <f>IFERROR(VLOOKUP(A147,WBS!A$4:B$200,2,FALSE),"")</f>
        <v/>
      </c>
    </row>
    <row r="148">
      <c r="B148" s="6">
        <f>IFERROR(VLOOKUP(A148,WBS!A$4:B$200,2,FALSE),"")</f>
        <v/>
      </c>
    </row>
    <row r="149">
      <c r="B149" s="6">
        <f>IFERROR(VLOOKUP(A149,WBS!A$4:B$200,2,FALSE),"")</f>
        <v/>
      </c>
    </row>
    <row r="150">
      <c r="B150" s="6">
        <f>IFERROR(VLOOKUP(A150,WBS!A$4:B$200,2,FALSE),"")</f>
        <v/>
      </c>
    </row>
    <row r="151">
      <c r="B151" s="6">
        <f>IFERROR(VLOOKUP(A151,WBS!A$4:B$200,2,FALSE),"")</f>
        <v/>
      </c>
    </row>
    <row r="152">
      <c r="B152" s="6">
        <f>IFERROR(VLOOKUP(A152,WBS!A$4:B$200,2,FALSE),"")</f>
        <v/>
      </c>
    </row>
    <row r="153">
      <c r="B153" s="6">
        <f>IFERROR(VLOOKUP(A153,WBS!A$4:B$200,2,FALSE),"")</f>
        <v/>
      </c>
    </row>
    <row r="154">
      <c r="B154" s="6">
        <f>IFERROR(VLOOKUP(A154,WBS!A$4:B$200,2,FALSE),"")</f>
        <v/>
      </c>
    </row>
    <row r="155">
      <c r="B155" s="6">
        <f>IFERROR(VLOOKUP(A155,WBS!A$4:B$200,2,FALSE),"")</f>
        <v/>
      </c>
    </row>
    <row r="156">
      <c r="B156" s="6">
        <f>IFERROR(VLOOKUP(A156,WBS!A$4:B$200,2,FALSE),"")</f>
        <v/>
      </c>
    </row>
    <row r="157">
      <c r="B157" s="6">
        <f>IFERROR(VLOOKUP(A157,WBS!A$4:B$200,2,FALSE),"")</f>
        <v/>
      </c>
    </row>
    <row r="158">
      <c r="B158" s="6">
        <f>IFERROR(VLOOKUP(A158,WBS!A$4:B$200,2,FALSE),"")</f>
        <v/>
      </c>
    </row>
    <row r="159">
      <c r="B159" s="6">
        <f>IFERROR(VLOOKUP(A159,WBS!A$4:B$200,2,FALSE),"")</f>
        <v/>
      </c>
    </row>
    <row r="160">
      <c r="B160" s="6">
        <f>IFERROR(VLOOKUP(A160,WBS!A$4:B$200,2,FALSE),"")</f>
        <v/>
      </c>
    </row>
    <row r="161">
      <c r="B161" s="6">
        <f>IFERROR(VLOOKUP(A161,WBS!A$4:B$200,2,FALSE),"")</f>
        <v/>
      </c>
    </row>
    <row r="162">
      <c r="B162" s="6">
        <f>IFERROR(VLOOKUP(A162,WBS!A$4:B$200,2,FALSE),"")</f>
        <v/>
      </c>
    </row>
    <row r="163">
      <c r="B163" s="6">
        <f>IFERROR(VLOOKUP(A163,WBS!A$4:B$200,2,FALSE),"")</f>
        <v/>
      </c>
    </row>
    <row r="164">
      <c r="B164" s="6">
        <f>IFERROR(VLOOKUP(A164,WBS!A$4:B$200,2,FALSE),"")</f>
        <v/>
      </c>
    </row>
    <row r="165">
      <c r="B165" s="6">
        <f>IFERROR(VLOOKUP(A165,WBS!A$4:B$200,2,FALSE),"")</f>
        <v/>
      </c>
    </row>
    <row r="166">
      <c r="B166" s="6">
        <f>IFERROR(VLOOKUP(A166,WBS!A$4:B$200,2,FALSE),"")</f>
        <v/>
      </c>
    </row>
    <row r="167">
      <c r="B167" s="6">
        <f>IFERROR(VLOOKUP(A167,WBS!A$4:B$200,2,FALSE),"")</f>
        <v/>
      </c>
    </row>
    <row r="168">
      <c r="B168" s="6">
        <f>IFERROR(VLOOKUP(A168,WBS!A$4:B$200,2,FALSE),"")</f>
        <v/>
      </c>
    </row>
    <row r="169">
      <c r="B169" s="6">
        <f>IFERROR(VLOOKUP(A169,WBS!A$4:B$200,2,FALSE),"")</f>
        <v/>
      </c>
    </row>
    <row r="170">
      <c r="B170" s="6">
        <f>IFERROR(VLOOKUP(A170,WBS!A$4:B$200,2,FALSE),"")</f>
        <v/>
      </c>
    </row>
    <row r="171">
      <c r="B171" s="6">
        <f>IFERROR(VLOOKUP(A171,WBS!A$4:B$200,2,FALSE),"")</f>
        <v/>
      </c>
    </row>
    <row r="172">
      <c r="B172" s="6">
        <f>IFERROR(VLOOKUP(A172,WBS!A$4:B$200,2,FALSE),"")</f>
        <v/>
      </c>
    </row>
    <row r="173">
      <c r="B173" s="6">
        <f>IFERROR(VLOOKUP(A173,WBS!A$4:B$200,2,FALSE),"")</f>
        <v/>
      </c>
    </row>
    <row r="174">
      <c r="B174" s="6">
        <f>IFERROR(VLOOKUP(A174,WBS!A$4:B$200,2,FALSE),"")</f>
        <v/>
      </c>
    </row>
    <row r="175">
      <c r="B175" s="6">
        <f>IFERROR(VLOOKUP(A175,WBS!A$4:B$200,2,FALSE),"")</f>
        <v/>
      </c>
    </row>
    <row r="176">
      <c r="B176" s="6">
        <f>IFERROR(VLOOKUP(A176,WBS!A$4:B$200,2,FALSE),"")</f>
        <v/>
      </c>
    </row>
    <row r="177">
      <c r="B177" s="6">
        <f>IFERROR(VLOOKUP(A177,WBS!A$4:B$200,2,FALSE),"")</f>
        <v/>
      </c>
    </row>
    <row r="178">
      <c r="B178" s="6">
        <f>IFERROR(VLOOKUP(A178,WBS!A$4:B$200,2,FALSE),"")</f>
        <v/>
      </c>
    </row>
    <row r="179">
      <c r="B179" s="6">
        <f>IFERROR(VLOOKUP(A179,WBS!A$4:B$200,2,FALSE),"")</f>
        <v/>
      </c>
    </row>
    <row r="180">
      <c r="B180" s="6">
        <f>IFERROR(VLOOKUP(A180,WBS!A$4:B$200,2,FALSE),"")</f>
        <v/>
      </c>
    </row>
    <row r="181">
      <c r="B181" s="6">
        <f>IFERROR(VLOOKUP(A181,WBS!A$4:B$200,2,FALSE),"")</f>
        <v/>
      </c>
    </row>
    <row r="182">
      <c r="B182" s="6">
        <f>IFERROR(VLOOKUP(A182,WBS!A$4:B$200,2,FALSE),"")</f>
        <v/>
      </c>
    </row>
    <row r="183">
      <c r="B183" s="6">
        <f>IFERROR(VLOOKUP(A183,WBS!A$4:B$200,2,FALSE),"")</f>
        <v/>
      </c>
    </row>
    <row r="184">
      <c r="B184" s="6">
        <f>IFERROR(VLOOKUP(A184,WBS!A$4:B$200,2,FALSE),"")</f>
        <v/>
      </c>
    </row>
    <row r="185">
      <c r="B185" s="6">
        <f>IFERROR(VLOOKUP(A185,WBS!A$4:B$200,2,FALSE),"")</f>
        <v/>
      </c>
    </row>
    <row r="186">
      <c r="B186" s="6">
        <f>IFERROR(VLOOKUP(A186,WBS!A$4:B$200,2,FALSE),"")</f>
        <v/>
      </c>
    </row>
    <row r="187">
      <c r="B187" s="6">
        <f>IFERROR(VLOOKUP(A187,WBS!A$4:B$200,2,FALSE),"")</f>
        <v/>
      </c>
    </row>
    <row r="188">
      <c r="B188" s="6">
        <f>IFERROR(VLOOKUP(A188,WBS!A$4:B$200,2,FALSE),"")</f>
        <v/>
      </c>
    </row>
    <row r="189">
      <c r="B189" s="6">
        <f>IFERROR(VLOOKUP(A189,WBS!A$4:B$200,2,FALSE),"")</f>
        <v/>
      </c>
    </row>
    <row r="190">
      <c r="B190" s="6">
        <f>IFERROR(VLOOKUP(A190,WBS!A$4:B$200,2,FALSE),"")</f>
        <v/>
      </c>
    </row>
    <row r="191">
      <c r="B191" s="6">
        <f>IFERROR(VLOOKUP(A191,WBS!A$4:B$200,2,FALSE),"")</f>
        <v/>
      </c>
    </row>
    <row r="192">
      <c r="B192" s="6">
        <f>IFERROR(VLOOKUP(A192,WBS!A$4:B$200,2,FALSE),"")</f>
        <v/>
      </c>
    </row>
    <row r="193">
      <c r="B193" s="6">
        <f>IFERROR(VLOOKUP(A193,WBS!A$4:B$200,2,FALSE),"")</f>
        <v/>
      </c>
    </row>
    <row r="194">
      <c r="B194" s="6">
        <f>IFERROR(VLOOKUP(A194,WBS!A$4:B$200,2,FALSE),"")</f>
        <v/>
      </c>
    </row>
    <row r="195">
      <c r="B195" s="6">
        <f>IFERROR(VLOOKUP(A195,WBS!A$4:B$200,2,FALSE),"")</f>
        <v/>
      </c>
    </row>
    <row r="196">
      <c r="B196" s="6">
        <f>IFERROR(VLOOKUP(A196,WBS!A$4:B$200,2,FALSE),"")</f>
        <v/>
      </c>
    </row>
    <row r="197">
      <c r="B197" s="6">
        <f>IFERROR(VLOOKUP(A197,WBS!A$4:B$200,2,FALSE),"")</f>
        <v/>
      </c>
    </row>
    <row r="198">
      <c r="B198" s="6">
        <f>IFERROR(VLOOKUP(A198,WBS!A$4:B$200,2,FALSE),"")</f>
        <v/>
      </c>
    </row>
    <row r="199">
      <c r="B199" s="6">
        <f>IFERROR(VLOOKUP(A199,WBS!A$4:B$200,2,FALSE),"")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2D050"/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4" customWidth="1" min="3" max="3"/>
    <col width="24" customWidth="1" min="7" max="7"/>
    <col width="12" customWidth="1" min="8" max="8"/>
    <col width="26" customWidth="1" min="9" max="9"/>
    <col width="26" customWidth="1" min="10" max="10"/>
  </cols>
  <sheetData>
    <row r="1">
      <c r="A1" s="1" t="inlineStr">
        <is>
          <t>PASO 3.2 — MANO DE OBRA (SUELDO BASE Y FASAR SE ACTUALIZAN AL CAMBIAR EL PUESTO)</t>
        </is>
      </c>
    </row>
    <row r="2">
      <c r="A2" s="8" t="inlineStr">
        <is>
          <t>🔵 Las columnas azules (Sueldo Base, FASAR, Costo Hora) se calculan AUTOMÁTICAMENTE desde el Catálogo BD al seleccionar el Puesto</t>
        </is>
      </c>
    </row>
    <row r="3" ht="30" customHeight="1">
      <c r="A3" s="2" t="inlineStr">
        <is>
          <t>Partida N°</t>
        </is>
      </c>
      <c r="B3" s="2" t="inlineStr">
        <is>
          <t>Partida WBS (Auto)</t>
        </is>
      </c>
      <c r="C3" s="2" t="inlineStr">
        <is>
          <t>Puesto / Categoría (Seleccionar ▼)</t>
        </is>
      </c>
      <c r="D3" s="2" t="inlineStr">
        <is>
          <t>Personas</t>
        </is>
      </c>
      <c r="E3" s="2" t="inlineStr">
        <is>
          <t>Horas/Día</t>
        </is>
      </c>
      <c r="F3" s="2" t="inlineStr">
        <is>
          <t>Días</t>
        </is>
      </c>
      <c r="G3" s="2" t="inlineStr">
        <is>
          <t>Sueldo Base Semanal (BD)</t>
        </is>
      </c>
      <c r="H3" s="2" t="inlineStr">
        <is>
          <t>FASAR (BD)</t>
        </is>
      </c>
      <c r="I3" s="2" t="inlineStr">
        <is>
          <t>Costo Hora MXN (Auto)</t>
        </is>
      </c>
      <c r="J3" s="2" t="inlineStr">
        <is>
          <t>Importe Total MO (MXN)</t>
        </is>
      </c>
    </row>
    <row r="4">
      <c r="A4" s="5" t="n">
        <v>1</v>
      </c>
      <c r="B4" s="6">
        <f>IFERROR(VLOOKUP(A4,WBS!A$4:B$200,2,FALSE),"")</f>
        <v/>
      </c>
      <c r="C4" s="3" t="inlineStr">
        <is>
          <t>Diseñador de Controles</t>
        </is>
      </c>
      <c r="D4" t="n">
        <v>1</v>
      </c>
      <c r="E4" t="n">
        <v>8</v>
      </c>
      <c r="F4" t="n">
        <v>5</v>
      </c>
      <c r="G4" s="9">
        <f>IFERROR(VLOOKUP(C4,BD!$A$2:$C$12,2,FALSE),3500)</f>
        <v/>
      </c>
      <c r="H4" s="10">
        <f>IFERROR(VLOOKUP(C4,BD!$A$2:$C$12,3,FALSE),1.45)</f>
        <v/>
      </c>
      <c r="I4" s="11">
        <f>(G4*H4)/48</f>
        <v/>
      </c>
      <c r="J4" s="12">
        <f>D4*E4*F4*I4</f>
        <v/>
      </c>
    </row>
    <row r="5">
      <c r="A5" s="5" t="n">
        <v>1</v>
      </c>
      <c r="B5" s="6">
        <f>IFERROR(VLOOKUP(A5,WBS!A$4:B$200,2,FALSE),"")</f>
        <v/>
      </c>
      <c r="C5" s="3" t="inlineStr">
        <is>
          <t>Ingeniero de Control</t>
        </is>
      </c>
      <c r="D5" t="n">
        <v>1</v>
      </c>
      <c r="E5" t="n">
        <v>8</v>
      </c>
      <c r="F5" t="n">
        <v>10</v>
      </c>
      <c r="G5" s="9">
        <f>IFERROR(VLOOKUP(C5,BD!$A$2:$C$12,2,FALSE),3500)</f>
        <v/>
      </c>
      <c r="H5" s="10">
        <f>IFERROR(VLOOKUP(C5,BD!$A$2:$C$12,3,FALSE),1.45)</f>
        <v/>
      </c>
      <c r="I5" s="11">
        <f>(G5*H5)/48</f>
        <v/>
      </c>
      <c r="J5" s="12">
        <f>D5*E5*F5*I5</f>
        <v/>
      </c>
    </row>
    <row r="6">
      <c r="A6" s="5" t="n">
        <v>2</v>
      </c>
      <c r="B6" s="6">
        <f>IFERROR(VLOOKUP(A6,WBS!A$4:B$200,2,FALSE),"")</f>
        <v/>
      </c>
      <c r="C6" s="3" t="inlineStr">
        <is>
          <t>Programador PLC / Robot</t>
        </is>
      </c>
      <c r="D6" t="n">
        <v>1</v>
      </c>
      <c r="E6" t="n">
        <v>8</v>
      </c>
      <c r="F6" t="n">
        <v>5</v>
      </c>
      <c r="G6" s="9">
        <f>IFERROR(VLOOKUP(C6,BD!$A$2:$C$12,2,FALSE),3500)</f>
        <v/>
      </c>
      <c r="H6" s="10">
        <f>IFERROR(VLOOKUP(C6,BD!$A$2:$C$12,3,FALSE),1.45)</f>
        <v/>
      </c>
      <c r="I6" s="11">
        <f>(G6*H6)/48</f>
        <v/>
      </c>
      <c r="J6" s="12">
        <f>D6*E6*F6*I6</f>
        <v/>
      </c>
    </row>
    <row r="7">
      <c r="B7" s="6">
        <f>IFERROR(VLOOKUP(A7,WBS!A$4:B$200,2,FALSE),"")</f>
        <v/>
      </c>
      <c r="G7" s="9">
        <f>IFERROR(VLOOKUP(C7,BD!$A$2:$C$12,2,FALSE),"")</f>
        <v/>
      </c>
      <c r="H7" s="10">
        <f>IFERROR(VLOOKUP(C7,BD!$A$2:$C$12,3,FALSE),"")</f>
        <v/>
      </c>
      <c r="I7" s="13">
        <f>IFERROR((G7*H7)/48,"")</f>
        <v/>
      </c>
      <c r="J7" s="14">
        <f>IFERROR(D7*E7*F7*I7,"")</f>
        <v/>
      </c>
    </row>
    <row r="8">
      <c r="B8" s="6">
        <f>IFERROR(VLOOKUP(A8,WBS!A$4:B$200,2,FALSE),"")</f>
        <v/>
      </c>
      <c r="G8" s="9">
        <f>IFERROR(VLOOKUP(C8,BD!$A$2:$C$12,2,FALSE),"")</f>
        <v/>
      </c>
      <c r="H8" s="10">
        <f>IFERROR(VLOOKUP(C8,BD!$A$2:$C$12,3,FALSE),"")</f>
        <v/>
      </c>
      <c r="I8" s="13">
        <f>IFERROR((G8*H8)/48,"")</f>
        <v/>
      </c>
      <c r="J8" s="14">
        <f>IFERROR(D8*E8*F8*I8,"")</f>
        <v/>
      </c>
    </row>
    <row r="9">
      <c r="B9" s="6">
        <f>IFERROR(VLOOKUP(A9,WBS!A$4:B$200,2,FALSE),"")</f>
        <v/>
      </c>
      <c r="G9" s="9">
        <f>IFERROR(VLOOKUP(C9,BD!$A$2:$C$12,2,FALSE),"")</f>
        <v/>
      </c>
      <c r="H9" s="10">
        <f>IFERROR(VLOOKUP(C9,BD!$A$2:$C$12,3,FALSE),"")</f>
        <v/>
      </c>
      <c r="I9" s="13">
        <f>IFERROR((G9*H9)/48,"")</f>
        <v/>
      </c>
      <c r="J9" s="14">
        <f>IFERROR(D9*E9*F9*I9,"")</f>
        <v/>
      </c>
    </row>
    <row r="10">
      <c r="B10" s="6">
        <f>IFERROR(VLOOKUP(A10,WBS!A$4:B$200,2,FALSE),"")</f>
        <v/>
      </c>
      <c r="G10" s="9">
        <f>IFERROR(VLOOKUP(C10,BD!$A$2:$C$12,2,FALSE),"")</f>
        <v/>
      </c>
      <c r="H10" s="10">
        <f>IFERROR(VLOOKUP(C10,BD!$A$2:$C$12,3,FALSE),"")</f>
        <v/>
      </c>
      <c r="I10" s="13">
        <f>IFERROR((G10*H10)/48,"")</f>
        <v/>
      </c>
      <c r="J10" s="14">
        <f>IFERROR(D10*E10*F10*I10,"")</f>
        <v/>
      </c>
    </row>
    <row r="11">
      <c r="B11" s="6">
        <f>IFERROR(VLOOKUP(A11,WBS!A$4:B$200,2,FALSE),"")</f>
        <v/>
      </c>
      <c r="G11" s="9">
        <f>IFERROR(VLOOKUP(C11,BD!$A$2:$C$12,2,FALSE),"")</f>
        <v/>
      </c>
      <c r="H11" s="10">
        <f>IFERROR(VLOOKUP(C11,BD!$A$2:$C$12,3,FALSE),"")</f>
        <v/>
      </c>
      <c r="I11" s="13">
        <f>IFERROR((G11*H11)/48,"")</f>
        <v/>
      </c>
      <c r="J11" s="14">
        <f>IFERROR(D11*E11*F11*I11,"")</f>
        <v/>
      </c>
    </row>
    <row r="12">
      <c r="B12" s="6">
        <f>IFERROR(VLOOKUP(A12,WBS!A$4:B$200,2,FALSE),"")</f>
        <v/>
      </c>
      <c r="G12" s="9">
        <f>IFERROR(VLOOKUP(C12,BD!$A$2:$C$12,2,FALSE),"")</f>
        <v/>
      </c>
      <c r="H12" s="10">
        <f>IFERROR(VLOOKUP(C12,BD!$A$2:$C$12,3,FALSE),"")</f>
        <v/>
      </c>
      <c r="I12" s="13">
        <f>IFERROR((G12*H12)/48,"")</f>
        <v/>
      </c>
      <c r="J12" s="14">
        <f>IFERROR(D12*E12*F12*I12,"")</f>
        <v/>
      </c>
    </row>
    <row r="13">
      <c r="B13" s="6">
        <f>IFERROR(VLOOKUP(A13,WBS!A$4:B$200,2,FALSE),"")</f>
        <v/>
      </c>
      <c r="G13" s="9">
        <f>IFERROR(VLOOKUP(C13,BD!$A$2:$C$12,2,FALSE),"")</f>
        <v/>
      </c>
      <c r="H13" s="10">
        <f>IFERROR(VLOOKUP(C13,BD!$A$2:$C$12,3,FALSE),"")</f>
        <v/>
      </c>
      <c r="I13" s="13">
        <f>IFERROR((G13*H13)/48,"")</f>
        <v/>
      </c>
      <c r="J13" s="14">
        <f>IFERROR(D13*E13*F13*I13,"")</f>
        <v/>
      </c>
    </row>
    <row r="14">
      <c r="B14" s="6">
        <f>IFERROR(VLOOKUP(A14,WBS!A$4:B$200,2,FALSE),"")</f>
        <v/>
      </c>
      <c r="G14" s="9">
        <f>IFERROR(VLOOKUP(C14,BD!$A$2:$C$12,2,FALSE),"")</f>
        <v/>
      </c>
      <c r="H14" s="10">
        <f>IFERROR(VLOOKUP(C14,BD!$A$2:$C$12,3,FALSE),"")</f>
        <v/>
      </c>
      <c r="I14" s="13">
        <f>IFERROR((G14*H14)/48,"")</f>
        <v/>
      </c>
      <c r="J14" s="14">
        <f>IFERROR(D14*E14*F14*I14,"")</f>
        <v/>
      </c>
    </row>
    <row r="15">
      <c r="B15" s="6">
        <f>IFERROR(VLOOKUP(A15,WBS!A$4:B$200,2,FALSE),"")</f>
        <v/>
      </c>
      <c r="G15" s="9">
        <f>IFERROR(VLOOKUP(C15,BD!$A$2:$C$12,2,FALSE),"")</f>
        <v/>
      </c>
      <c r="H15" s="10">
        <f>IFERROR(VLOOKUP(C15,BD!$A$2:$C$12,3,FALSE),"")</f>
        <v/>
      </c>
      <c r="I15" s="13">
        <f>IFERROR((G15*H15)/48,"")</f>
        <v/>
      </c>
      <c r="J15" s="14">
        <f>IFERROR(D15*E15*F15*I15,"")</f>
        <v/>
      </c>
    </row>
    <row r="16">
      <c r="B16" s="6">
        <f>IFERROR(VLOOKUP(A16,WBS!A$4:B$200,2,FALSE),"")</f>
        <v/>
      </c>
      <c r="G16" s="9">
        <f>IFERROR(VLOOKUP(C16,BD!$A$2:$C$12,2,FALSE),"")</f>
        <v/>
      </c>
      <c r="H16" s="10">
        <f>IFERROR(VLOOKUP(C16,BD!$A$2:$C$12,3,FALSE),"")</f>
        <v/>
      </c>
      <c r="I16" s="13">
        <f>IFERROR((G16*H16)/48,"")</f>
        <v/>
      </c>
      <c r="J16" s="14">
        <f>IFERROR(D16*E16*F16*I16,"")</f>
        <v/>
      </c>
    </row>
    <row r="17">
      <c r="B17" s="6">
        <f>IFERROR(VLOOKUP(A17,WBS!A$4:B$200,2,FALSE),"")</f>
        <v/>
      </c>
      <c r="G17" s="9">
        <f>IFERROR(VLOOKUP(C17,BD!$A$2:$C$12,2,FALSE),"")</f>
        <v/>
      </c>
      <c r="H17" s="10">
        <f>IFERROR(VLOOKUP(C17,BD!$A$2:$C$12,3,FALSE),"")</f>
        <v/>
      </c>
      <c r="I17" s="13">
        <f>IFERROR((G17*H17)/48,"")</f>
        <v/>
      </c>
      <c r="J17" s="14">
        <f>IFERROR(D17*E17*F17*I17,"")</f>
        <v/>
      </c>
    </row>
    <row r="18">
      <c r="B18" s="6">
        <f>IFERROR(VLOOKUP(A18,WBS!A$4:B$200,2,FALSE),"")</f>
        <v/>
      </c>
      <c r="G18" s="9">
        <f>IFERROR(VLOOKUP(C18,BD!$A$2:$C$12,2,FALSE),"")</f>
        <v/>
      </c>
      <c r="H18" s="10">
        <f>IFERROR(VLOOKUP(C18,BD!$A$2:$C$12,3,FALSE),"")</f>
        <v/>
      </c>
      <c r="I18" s="13">
        <f>IFERROR((G18*H18)/48,"")</f>
        <v/>
      </c>
      <c r="J18" s="14">
        <f>IFERROR(D18*E18*F18*I18,"")</f>
        <v/>
      </c>
    </row>
    <row r="19">
      <c r="B19" s="6">
        <f>IFERROR(VLOOKUP(A19,WBS!A$4:B$200,2,FALSE),"")</f>
        <v/>
      </c>
      <c r="G19" s="9">
        <f>IFERROR(VLOOKUP(C19,BD!$A$2:$C$12,2,FALSE),"")</f>
        <v/>
      </c>
      <c r="H19" s="10">
        <f>IFERROR(VLOOKUP(C19,BD!$A$2:$C$12,3,FALSE),"")</f>
        <v/>
      </c>
      <c r="I19" s="13">
        <f>IFERROR((G19*H19)/48,"")</f>
        <v/>
      </c>
      <c r="J19" s="14">
        <f>IFERROR(D19*E19*F19*I19,"")</f>
        <v/>
      </c>
    </row>
    <row r="20">
      <c r="B20" s="6">
        <f>IFERROR(VLOOKUP(A20,WBS!A$4:B$200,2,FALSE),"")</f>
        <v/>
      </c>
      <c r="G20" s="9">
        <f>IFERROR(VLOOKUP(C20,BD!$A$2:$C$12,2,FALSE),"")</f>
        <v/>
      </c>
      <c r="H20" s="10">
        <f>IFERROR(VLOOKUP(C20,BD!$A$2:$C$12,3,FALSE),"")</f>
        <v/>
      </c>
      <c r="I20" s="13">
        <f>IFERROR((G20*H20)/48,"")</f>
        <v/>
      </c>
      <c r="J20" s="14">
        <f>IFERROR(D20*E20*F20*I20,"")</f>
        <v/>
      </c>
    </row>
    <row r="21">
      <c r="B21" s="6">
        <f>IFERROR(VLOOKUP(A21,WBS!A$4:B$200,2,FALSE),"")</f>
        <v/>
      </c>
      <c r="G21" s="9">
        <f>IFERROR(VLOOKUP(C21,BD!$A$2:$C$12,2,FALSE),"")</f>
        <v/>
      </c>
      <c r="H21" s="10">
        <f>IFERROR(VLOOKUP(C21,BD!$A$2:$C$12,3,FALSE),"")</f>
        <v/>
      </c>
      <c r="I21" s="13">
        <f>IFERROR((G21*H21)/48,"")</f>
        <v/>
      </c>
      <c r="J21" s="14">
        <f>IFERROR(D21*E21*F21*I21,"")</f>
        <v/>
      </c>
    </row>
    <row r="22">
      <c r="B22" s="6">
        <f>IFERROR(VLOOKUP(A22,WBS!A$4:B$200,2,FALSE),"")</f>
        <v/>
      </c>
      <c r="G22" s="9">
        <f>IFERROR(VLOOKUP(C22,BD!$A$2:$C$12,2,FALSE),"")</f>
        <v/>
      </c>
      <c r="H22" s="10">
        <f>IFERROR(VLOOKUP(C22,BD!$A$2:$C$12,3,FALSE),"")</f>
        <v/>
      </c>
      <c r="I22" s="13">
        <f>IFERROR((G22*H22)/48,"")</f>
        <v/>
      </c>
      <c r="J22" s="14">
        <f>IFERROR(D22*E22*F22*I22,"")</f>
        <v/>
      </c>
    </row>
    <row r="23">
      <c r="B23" s="6">
        <f>IFERROR(VLOOKUP(A23,WBS!A$4:B$200,2,FALSE),"")</f>
        <v/>
      </c>
      <c r="G23" s="9">
        <f>IFERROR(VLOOKUP(C23,BD!$A$2:$C$12,2,FALSE),"")</f>
        <v/>
      </c>
      <c r="H23" s="10">
        <f>IFERROR(VLOOKUP(C23,BD!$A$2:$C$12,3,FALSE),"")</f>
        <v/>
      </c>
      <c r="I23" s="13">
        <f>IFERROR((G23*H23)/48,"")</f>
        <v/>
      </c>
      <c r="J23" s="14">
        <f>IFERROR(D23*E23*F23*I23,"")</f>
        <v/>
      </c>
    </row>
    <row r="24">
      <c r="B24" s="6">
        <f>IFERROR(VLOOKUP(A24,WBS!A$4:B$200,2,FALSE),"")</f>
        <v/>
      </c>
      <c r="G24" s="9">
        <f>IFERROR(VLOOKUP(C24,BD!$A$2:$C$12,2,FALSE),"")</f>
        <v/>
      </c>
      <c r="H24" s="10">
        <f>IFERROR(VLOOKUP(C24,BD!$A$2:$C$12,3,FALSE),"")</f>
        <v/>
      </c>
      <c r="I24" s="13">
        <f>IFERROR((G24*H24)/48,"")</f>
        <v/>
      </c>
      <c r="J24" s="14">
        <f>IFERROR(D24*E24*F24*I24,"")</f>
        <v/>
      </c>
    </row>
    <row r="25">
      <c r="B25" s="6">
        <f>IFERROR(VLOOKUP(A25,WBS!A$4:B$200,2,FALSE),"")</f>
        <v/>
      </c>
      <c r="G25" s="9">
        <f>IFERROR(VLOOKUP(C25,BD!$A$2:$C$12,2,FALSE),"")</f>
        <v/>
      </c>
      <c r="H25" s="10">
        <f>IFERROR(VLOOKUP(C25,BD!$A$2:$C$12,3,FALSE),"")</f>
        <v/>
      </c>
      <c r="I25" s="13">
        <f>IFERROR((G25*H25)/48,"")</f>
        <v/>
      </c>
      <c r="J25" s="14">
        <f>IFERROR(D25*E25*F25*I25,"")</f>
        <v/>
      </c>
    </row>
    <row r="26">
      <c r="B26" s="6">
        <f>IFERROR(VLOOKUP(A26,WBS!A$4:B$200,2,FALSE),"")</f>
        <v/>
      </c>
      <c r="G26" s="9">
        <f>IFERROR(VLOOKUP(C26,BD!$A$2:$C$12,2,FALSE),"")</f>
        <v/>
      </c>
      <c r="H26" s="10">
        <f>IFERROR(VLOOKUP(C26,BD!$A$2:$C$12,3,FALSE),"")</f>
        <v/>
      </c>
      <c r="I26" s="13">
        <f>IFERROR((G26*H26)/48,"")</f>
        <v/>
      </c>
      <c r="J26" s="14">
        <f>IFERROR(D26*E26*F26*I26,"")</f>
        <v/>
      </c>
    </row>
    <row r="27">
      <c r="B27" s="6">
        <f>IFERROR(VLOOKUP(A27,WBS!A$4:B$200,2,FALSE),"")</f>
        <v/>
      </c>
      <c r="G27" s="9">
        <f>IFERROR(VLOOKUP(C27,BD!$A$2:$C$12,2,FALSE),"")</f>
        <v/>
      </c>
      <c r="H27" s="10">
        <f>IFERROR(VLOOKUP(C27,BD!$A$2:$C$12,3,FALSE),"")</f>
        <v/>
      </c>
      <c r="I27" s="13">
        <f>IFERROR((G27*H27)/48,"")</f>
        <v/>
      </c>
      <c r="J27" s="14">
        <f>IFERROR(D27*E27*F27*I27,"")</f>
        <v/>
      </c>
    </row>
    <row r="28">
      <c r="B28" s="6">
        <f>IFERROR(VLOOKUP(A28,WBS!A$4:B$200,2,FALSE),"")</f>
        <v/>
      </c>
      <c r="G28" s="9">
        <f>IFERROR(VLOOKUP(C28,BD!$A$2:$C$12,2,FALSE),"")</f>
        <v/>
      </c>
      <c r="H28" s="10">
        <f>IFERROR(VLOOKUP(C28,BD!$A$2:$C$12,3,FALSE),"")</f>
        <v/>
      </c>
      <c r="I28" s="13">
        <f>IFERROR((G28*H28)/48,"")</f>
        <v/>
      </c>
      <c r="J28" s="14">
        <f>IFERROR(D28*E28*F28*I28,"")</f>
        <v/>
      </c>
    </row>
    <row r="29">
      <c r="B29" s="6">
        <f>IFERROR(VLOOKUP(A29,WBS!A$4:B$200,2,FALSE),"")</f>
        <v/>
      </c>
      <c r="G29" s="9">
        <f>IFERROR(VLOOKUP(C29,BD!$A$2:$C$12,2,FALSE),"")</f>
        <v/>
      </c>
      <c r="H29" s="10">
        <f>IFERROR(VLOOKUP(C29,BD!$A$2:$C$12,3,FALSE),"")</f>
        <v/>
      </c>
      <c r="I29" s="13">
        <f>IFERROR((G29*H29)/48,"")</f>
        <v/>
      </c>
      <c r="J29" s="14">
        <f>IFERROR(D29*E29*F29*I29,"")</f>
        <v/>
      </c>
    </row>
    <row r="30">
      <c r="B30" s="6">
        <f>IFERROR(VLOOKUP(A30,WBS!A$4:B$200,2,FALSE),"")</f>
        <v/>
      </c>
      <c r="G30" s="9">
        <f>IFERROR(VLOOKUP(C30,BD!$A$2:$C$12,2,FALSE),"")</f>
        <v/>
      </c>
      <c r="H30" s="10">
        <f>IFERROR(VLOOKUP(C30,BD!$A$2:$C$12,3,FALSE),"")</f>
        <v/>
      </c>
      <c r="I30" s="13">
        <f>IFERROR((G30*H30)/48,"")</f>
        <v/>
      </c>
      <c r="J30" s="14">
        <f>IFERROR(D30*E30*F30*I30,"")</f>
        <v/>
      </c>
    </row>
    <row r="31">
      <c r="B31" s="6">
        <f>IFERROR(VLOOKUP(A31,WBS!A$4:B$200,2,FALSE),"")</f>
        <v/>
      </c>
      <c r="G31" s="9">
        <f>IFERROR(VLOOKUP(C31,BD!$A$2:$C$12,2,FALSE),"")</f>
        <v/>
      </c>
      <c r="H31" s="10">
        <f>IFERROR(VLOOKUP(C31,BD!$A$2:$C$12,3,FALSE),"")</f>
        <v/>
      </c>
      <c r="I31" s="13">
        <f>IFERROR((G31*H31)/48,"")</f>
        <v/>
      </c>
      <c r="J31" s="14">
        <f>IFERROR(D31*E31*F31*I31,"")</f>
        <v/>
      </c>
    </row>
    <row r="32">
      <c r="B32" s="6">
        <f>IFERROR(VLOOKUP(A32,WBS!A$4:B$200,2,FALSE),"")</f>
        <v/>
      </c>
      <c r="G32" s="9">
        <f>IFERROR(VLOOKUP(C32,BD!$A$2:$C$12,2,FALSE),"")</f>
        <v/>
      </c>
      <c r="H32" s="10">
        <f>IFERROR(VLOOKUP(C32,BD!$A$2:$C$12,3,FALSE),"")</f>
        <v/>
      </c>
      <c r="I32" s="13">
        <f>IFERROR((G32*H32)/48,"")</f>
        <v/>
      </c>
      <c r="J32" s="14">
        <f>IFERROR(D32*E32*F32*I32,"")</f>
        <v/>
      </c>
    </row>
    <row r="33">
      <c r="B33" s="6">
        <f>IFERROR(VLOOKUP(A33,WBS!A$4:B$200,2,FALSE),"")</f>
        <v/>
      </c>
      <c r="G33" s="9">
        <f>IFERROR(VLOOKUP(C33,BD!$A$2:$C$12,2,FALSE),"")</f>
        <v/>
      </c>
      <c r="H33" s="10">
        <f>IFERROR(VLOOKUP(C33,BD!$A$2:$C$12,3,FALSE),"")</f>
        <v/>
      </c>
      <c r="I33" s="13">
        <f>IFERROR((G33*H33)/48,"")</f>
        <v/>
      </c>
      <c r="J33" s="14">
        <f>IFERROR(D33*E33*F33*I33,"")</f>
        <v/>
      </c>
    </row>
    <row r="34">
      <c r="B34" s="6">
        <f>IFERROR(VLOOKUP(A34,WBS!A$4:B$200,2,FALSE),"")</f>
        <v/>
      </c>
      <c r="G34" s="9">
        <f>IFERROR(VLOOKUP(C34,BD!$A$2:$C$12,2,FALSE),"")</f>
        <v/>
      </c>
      <c r="H34" s="10">
        <f>IFERROR(VLOOKUP(C34,BD!$A$2:$C$12,3,FALSE),"")</f>
        <v/>
      </c>
      <c r="I34" s="13">
        <f>IFERROR((G34*H34)/48,"")</f>
        <v/>
      </c>
      <c r="J34" s="14">
        <f>IFERROR(D34*E34*F34*I34,"")</f>
        <v/>
      </c>
    </row>
    <row r="35">
      <c r="B35" s="6">
        <f>IFERROR(VLOOKUP(A35,WBS!A$4:B$200,2,FALSE),"")</f>
        <v/>
      </c>
      <c r="G35" s="9">
        <f>IFERROR(VLOOKUP(C35,BD!$A$2:$C$12,2,FALSE),"")</f>
        <v/>
      </c>
      <c r="H35" s="10">
        <f>IFERROR(VLOOKUP(C35,BD!$A$2:$C$12,3,FALSE),"")</f>
        <v/>
      </c>
      <c r="I35" s="13">
        <f>IFERROR((G35*H35)/48,"")</f>
        <v/>
      </c>
      <c r="J35" s="14">
        <f>IFERROR(D35*E35*F35*I35,"")</f>
        <v/>
      </c>
    </row>
    <row r="36">
      <c r="B36" s="6">
        <f>IFERROR(VLOOKUP(A36,WBS!A$4:B$200,2,FALSE),"")</f>
        <v/>
      </c>
      <c r="G36" s="9">
        <f>IFERROR(VLOOKUP(C36,BD!$A$2:$C$12,2,FALSE),"")</f>
        <v/>
      </c>
      <c r="H36" s="10">
        <f>IFERROR(VLOOKUP(C36,BD!$A$2:$C$12,3,FALSE),"")</f>
        <v/>
      </c>
      <c r="I36" s="13">
        <f>IFERROR((G36*H36)/48,"")</f>
        <v/>
      </c>
      <c r="J36" s="14">
        <f>IFERROR(D36*E36*F36*I36,"")</f>
        <v/>
      </c>
    </row>
    <row r="37">
      <c r="B37" s="6">
        <f>IFERROR(VLOOKUP(A37,WBS!A$4:B$200,2,FALSE),"")</f>
        <v/>
      </c>
      <c r="G37" s="9">
        <f>IFERROR(VLOOKUP(C37,BD!$A$2:$C$12,2,FALSE),"")</f>
        <v/>
      </c>
      <c r="H37" s="10">
        <f>IFERROR(VLOOKUP(C37,BD!$A$2:$C$12,3,FALSE),"")</f>
        <v/>
      </c>
      <c r="I37" s="13">
        <f>IFERROR((G37*H37)/48,"")</f>
        <v/>
      </c>
      <c r="J37" s="14">
        <f>IFERROR(D37*E37*F37*I37,"")</f>
        <v/>
      </c>
    </row>
    <row r="38">
      <c r="B38" s="6">
        <f>IFERROR(VLOOKUP(A38,WBS!A$4:B$200,2,FALSE),"")</f>
        <v/>
      </c>
      <c r="G38" s="9">
        <f>IFERROR(VLOOKUP(C38,BD!$A$2:$C$12,2,FALSE),"")</f>
        <v/>
      </c>
      <c r="H38" s="10">
        <f>IFERROR(VLOOKUP(C38,BD!$A$2:$C$12,3,FALSE),"")</f>
        <v/>
      </c>
      <c r="I38" s="13">
        <f>IFERROR((G38*H38)/48,"")</f>
        <v/>
      </c>
      <c r="J38" s="14">
        <f>IFERROR(D38*E38*F38*I38,"")</f>
        <v/>
      </c>
    </row>
    <row r="39">
      <c r="B39" s="6">
        <f>IFERROR(VLOOKUP(A39,WBS!A$4:B$200,2,FALSE),"")</f>
        <v/>
      </c>
      <c r="G39" s="9">
        <f>IFERROR(VLOOKUP(C39,BD!$A$2:$C$12,2,FALSE),"")</f>
        <v/>
      </c>
      <c r="H39" s="10">
        <f>IFERROR(VLOOKUP(C39,BD!$A$2:$C$12,3,FALSE),"")</f>
        <v/>
      </c>
      <c r="I39" s="13">
        <f>IFERROR((G39*H39)/48,"")</f>
        <v/>
      </c>
      <c r="J39" s="14">
        <f>IFERROR(D39*E39*F39*I39,"")</f>
        <v/>
      </c>
    </row>
    <row r="40">
      <c r="B40" s="6">
        <f>IFERROR(VLOOKUP(A40,WBS!A$4:B$200,2,FALSE),"")</f>
        <v/>
      </c>
      <c r="G40" s="9">
        <f>IFERROR(VLOOKUP(C40,BD!$A$2:$C$12,2,FALSE),"")</f>
        <v/>
      </c>
      <c r="H40" s="10">
        <f>IFERROR(VLOOKUP(C40,BD!$A$2:$C$12,3,FALSE),"")</f>
        <v/>
      </c>
      <c r="I40" s="13">
        <f>IFERROR((G40*H40)/48,"")</f>
        <v/>
      </c>
      <c r="J40" s="14">
        <f>IFERROR(D40*E40*F40*I40,"")</f>
        <v/>
      </c>
    </row>
    <row r="41">
      <c r="B41" s="6">
        <f>IFERROR(VLOOKUP(A41,WBS!A$4:B$200,2,FALSE),"")</f>
        <v/>
      </c>
      <c r="G41" s="9">
        <f>IFERROR(VLOOKUP(C41,BD!$A$2:$C$12,2,FALSE),"")</f>
        <v/>
      </c>
      <c r="H41" s="10">
        <f>IFERROR(VLOOKUP(C41,BD!$A$2:$C$12,3,FALSE),"")</f>
        <v/>
      </c>
      <c r="I41" s="13">
        <f>IFERROR((G41*H41)/48,"")</f>
        <v/>
      </c>
      <c r="J41" s="14">
        <f>IFERROR(D41*E41*F41*I41,"")</f>
        <v/>
      </c>
    </row>
    <row r="42">
      <c r="B42" s="6">
        <f>IFERROR(VLOOKUP(A42,WBS!A$4:B$200,2,FALSE),"")</f>
        <v/>
      </c>
      <c r="G42" s="9">
        <f>IFERROR(VLOOKUP(C42,BD!$A$2:$C$12,2,FALSE),"")</f>
        <v/>
      </c>
      <c r="H42" s="10">
        <f>IFERROR(VLOOKUP(C42,BD!$A$2:$C$12,3,FALSE),"")</f>
        <v/>
      </c>
      <c r="I42" s="13">
        <f>IFERROR((G42*H42)/48,"")</f>
        <v/>
      </c>
      <c r="J42" s="14">
        <f>IFERROR(D42*E42*F42*I42,"")</f>
        <v/>
      </c>
    </row>
    <row r="43">
      <c r="B43" s="6">
        <f>IFERROR(VLOOKUP(A43,WBS!A$4:B$200,2,FALSE),"")</f>
        <v/>
      </c>
      <c r="G43" s="9">
        <f>IFERROR(VLOOKUP(C43,BD!$A$2:$C$12,2,FALSE),"")</f>
        <v/>
      </c>
      <c r="H43" s="10">
        <f>IFERROR(VLOOKUP(C43,BD!$A$2:$C$12,3,FALSE),"")</f>
        <v/>
      </c>
      <c r="I43" s="13">
        <f>IFERROR((G43*H43)/48,"")</f>
        <v/>
      </c>
      <c r="J43" s="14">
        <f>IFERROR(D43*E43*F43*I43,"")</f>
        <v/>
      </c>
    </row>
    <row r="44">
      <c r="B44" s="6">
        <f>IFERROR(VLOOKUP(A44,WBS!A$4:B$200,2,FALSE),"")</f>
        <v/>
      </c>
      <c r="G44" s="9">
        <f>IFERROR(VLOOKUP(C44,BD!$A$2:$C$12,2,FALSE),"")</f>
        <v/>
      </c>
      <c r="H44" s="10">
        <f>IFERROR(VLOOKUP(C44,BD!$A$2:$C$12,3,FALSE),"")</f>
        <v/>
      </c>
      <c r="I44" s="13">
        <f>IFERROR((G44*H44)/48,"")</f>
        <v/>
      </c>
      <c r="J44" s="14">
        <f>IFERROR(D44*E44*F44*I44,"")</f>
        <v/>
      </c>
    </row>
    <row r="45">
      <c r="B45" s="6">
        <f>IFERROR(VLOOKUP(A45,WBS!A$4:B$200,2,FALSE),"")</f>
        <v/>
      </c>
      <c r="G45" s="9">
        <f>IFERROR(VLOOKUP(C45,BD!$A$2:$C$12,2,FALSE),"")</f>
        <v/>
      </c>
      <c r="H45" s="10">
        <f>IFERROR(VLOOKUP(C45,BD!$A$2:$C$12,3,FALSE),"")</f>
        <v/>
      </c>
      <c r="I45" s="13">
        <f>IFERROR((G45*H45)/48,"")</f>
        <v/>
      </c>
      <c r="J45" s="14">
        <f>IFERROR(D45*E45*F45*I45,"")</f>
        <v/>
      </c>
    </row>
    <row r="46">
      <c r="B46" s="6">
        <f>IFERROR(VLOOKUP(A46,WBS!A$4:B$200,2,FALSE),"")</f>
        <v/>
      </c>
      <c r="G46" s="9">
        <f>IFERROR(VLOOKUP(C46,BD!$A$2:$C$12,2,FALSE),"")</f>
        <v/>
      </c>
      <c r="H46" s="10">
        <f>IFERROR(VLOOKUP(C46,BD!$A$2:$C$12,3,FALSE),"")</f>
        <v/>
      </c>
      <c r="I46" s="13">
        <f>IFERROR((G46*H46)/48,"")</f>
        <v/>
      </c>
      <c r="J46" s="14">
        <f>IFERROR(D46*E46*F46*I46,"")</f>
        <v/>
      </c>
    </row>
    <row r="47">
      <c r="B47" s="6">
        <f>IFERROR(VLOOKUP(A47,WBS!A$4:B$200,2,FALSE),"")</f>
        <v/>
      </c>
      <c r="G47" s="9">
        <f>IFERROR(VLOOKUP(C47,BD!$A$2:$C$12,2,FALSE),"")</f>
        <v/>
      </c>
      <c r="H47" s="10">
        <f>IFERROR(VLOOKUP(C47,BD!$A$2:$C$12,3,FALSE),"")</f>
        <v/>
      </c>
      <c r="I47" s="13">
        <f>IFERROR((G47*H47)/48,"")</f>
        <v/>
      </c>
      <c r="J47" s="14">
        <f>IFERROR(D47*E47*F47*I47,"")</f>
        <v/>
      </c>
    </row>
    <row r="48">
      <c r="B48" s="6">
        <f>IFERROR(VLOOKUP(A48,WBS!A$4:B$200,2,FALSE),"")</f>
        <v/>
      </c>
      <c r="G48" s="9">
        <f>IFERROR(VLOOKUP(C48,BD!$A$2:$C$12,2,FALSE),"")</f>
        <v/>
      </c>
      <c r="H48" s="10">
        <f>IFERROR(VLOOKUP(C48,BD!$A$2:$C$12,3,FALSE),"")</f>
        <v/>
      </c>
      <c r="I48" s="13">
        <f>IFERROR((G48*H48)/48,"")</f>
        <v/>
      </c>
      <c r="J48" s="14">
        <f>IFERROR(D48*E48*F48*I48,"")</f>
        <v/>
      </c>
    </row>
    <row r="49">
      <c r="B49" s="6">
        <f>IFERROR(VLOOKUP(A49,WBS!A$4:B$200,2,FALSE),"")</f>
        <v/>
      </c>
      <c r="G49" s="9">
        <f>IFERROR(VLOOKUP(C49,BD!$A$2:$C$12,2,FALSE),"")</f>
        <v/>
      </c>
      <c r="H49" s="10">
        <f>IFERROR(VLOOKUP(C49,BD!$A$2:$C$12,3,FALSE),"")</f>
        <v/>
      </c>
      <c r="I49" s="13">
        <f>IFERROR((G49*H49)/48,"")</f>
        <v/>
      </c>
      <c r="J49" s="14">
        <f>IFERROR(D49*E49*F49*I49,"")</f>
        <v/>
      </c>
    </row>
    <row r="50">
      <c r="B50" s="6">
        <f>IFERROR(VLOOKUP(A50,WBS!A$4:B$200,2,FALSE),"")</f>
        <v/>
      </c>
      <c r="G50" s="9">
        <f>IFERROR(VLOOKUP(C50,BD!$A$2:$C$12,2,FALSE),"")</f>
        <v/>
      </c>
      <c r="H50" s="10">
        <f>IFERROR(VLOOKUP(C50,BD!$A$2:$C$12,3,FALSE),"")</f>
        <v/>
      </c>
      <c r="I50" s="13">
        <f>IFERROR((G50*H50)/48,"")</f>
        <v/>
      </c>
      <c r="J50" s="14">
        <f>IFERROR(D50*E50*F50*I50,"")</f>
        <v/>
      </c>
    </row>
    <row r="51">
      <c r="B51" s="6">
        <f>IFERROR(VLOOKUP(A51,WBS!A$4:B$200,2,FALSE),"")</f>
        <v/>
      </c>
      <c r="G51" s="9">
        <f>IFERROR(VLOOKUP(C51,BD!$A$2:$C$12,2,FALSE),"")</f>
        <v/>
      </c>
      <c r="H51" s="10">
        <f>IFERROR(VLOOKUP(C51,BD!$A$2:$C$12,3,FALSE),"")</f>
        <v/>
      </c>
      <c r="I51" s="13">
        <f>IFERROR((G51*H51)/48,"")</f>
        <v/>
      </c>
      <c r="J51" s="14">
        <f>IFERROR(D51*E51*F51*I51,"")</f>
        <v/>
      </c>
    </row>
    <row r="52">
      <c r="B52" s="6">
        <f>IFERROR(VLOOKUP(A52,WBS!A$4:B$200,2,FALSE),"")</f>
        <v/>
      </c>
      <c r="G52" s="9">
        <f>IFERROR(VLOOKUP(C52,BD!$A$2:$C$12,2,FALSE),"")</f>
        <v/>
      </c>
      <c r="H52" s="10">
        <f>IFERROR(VLOOKUP(C52,BD!$A$2:$C$12,3,FALSE),"")</f>
        <v/>
      </c>
      <c r="I52" s="13">
        <f>IFERROR((G52*H52)/48,"")</f>
        <v/>
      </c>
      <c r="J52" s="14">
        <f>IFERROR(D52*E52*F52*I52,"")</f>
        <v/>
      </c>
    </row>
    <row r="53">
      <c r="B53" s="6">
        <f>IFERROR(VLOOKUP(A53,WBS!A$4:B$200,2,FALSE),"")</f>
        <v/>
      </c>
      <c r="G53" s="9">
        <f>IFERROR(VLOOKUP(C53,BD!$A$2:$C$12,2,FALSE),"")</f>
        <v/>
      </c>
      <c r="H53" s="10">
        <f>IFERROR(VLOOKUP(C53,BD!$A$2:$C$12,3,FALSE),"")</f>
        <v/>
      </c>
      <c r="I53" s="13">
        <f>IFERROR((G53*H53)/48,"")</f>
        <v/>
      </c>
      <c r="J53" s="14">
        <f>IFERROR(D53*E53*F53*I53,"")</f>
        <v/>
      </c>
    </row>
    <row r="54">
      <c r="B54" s="6">
        <f>IFERROR(VLOOKUP(A54,WBS!A$4:B$200,2,FALSE),"")</f>
        <v/>
      </c>
      <c r="G54" s="9">
        <f>IFERROR(VLOOKUP(C54,BD!$A$2:$C$12,2,FALSE),"")</f>
        <v/>
      </c>
      <c r="H54" s="10">
        <f>IFERROR(VLOOKUP(C54,BD!$A$2:$C$12,3,FALSE),"")</f>
        <v/>
      </c>
      <c r="I54" s="13">
        <f>IFERROR((G54*H54)/48,"")</f>
        <v/>
      </c>
      <c r="J54" s="14">
        <f>IFERROR(D54*E54*F54*I54,"")</f>
        <v/>
      </c>
    </row>
    <row r="55">
      <c r="B55" s="6">
        <f>IFERROR(VLOOKUP(A55,WBS!A$4:B$200,2,FALSE),"")</f>
        <v/>
      </c>
      <c r="G55" s="9">
        <f>IFERROR(VLOOKUP(C55,BD!$A$2:$C$12,2,FALSE),"")</f>
        <v/>
      </c>
      <c r="H55" s="10">
        <f>IFERROR(VLOOKUP(C55,BD!$A$2:$C$12,3,FALSE),"")</f>
        <v/>
      </c>
      <c r="I55" s="13">
        <f>IFERROR((G55*H55)/48,"")</f>
        <v/>
      </c>
      <c r="J55" s="14">
        <f>IFERROR(D55*E55*F55*I55,"")</f>
        <v/>
      </c>
    </row>
    <row r="56">
      <c r="B56" s="6">
        <f>IFERROR(VLOOKUP(A56,WBS!A$4:B$200,2,FALSE),"")</f>
        <v/>
      </c>
      <c r="G56" s="9">
        <f>IFERROR(VLOOKUP(C56,BD!$A$2:$C$12,2,FALSE),"")</f>
        <v/>
      </c>
      <c r="H56" s="10">
        <f>IFERROR(VLOOKUP(C56,BD!$A$2:$C$12,3,FALSE),"")</f>
        <v/>
      </c>
      <c r="I56" s="13">
        <f>IFERROR((G56*H56)/48,"")</f>
        <v/>
      </c>
      <c r="J56" s="14">
        <f>IFERROR(D56*E56*F56*I56,"")</f>
        <v/>
      </c>
    </row>
    <row r="57">
      <c r="B57" s="6">
        <f>IFERROR(VLOOKUP(A57,WBS!A$4:B$200,2,FALSE),"")</f>
        <v/>
      </c>
      <c r="G57" s="9">
        <f>IFERROR(VLOOKUP(C57,BD!$A$2:$C$12,2,FALSE),"")</f>
        <v/>
      </c>
      <c r="H57" s="10">
        <f>IFERROR(VLOOKUP(C57,BD!$A$2:$C$12,3,FALSE),"")</f>
        <v/>
      </c>
      <c r="I57" s="13">
        <f>IFERROR((G57*H57)/48,"")</f>
        <v/>
      </c>
      <c r="J57" s="14">
        <f>IFERROR(D57*E57*F57*I57,"")</f>
        <v/>
      </c>
    </row>
    <row r="58">
      <c r="B58" s="6">
        <f>IFERROR(VLOOKUP(A58,WBS!A$4:B$200,2,FALSE),"")</f>
        <v/>
      </c>
      <c r="G58" s="9">
        <f>IFERROR(VLOOKUP(C58,BD!$A$2:$C$12,2,FALSE),"")</f>
        <v/>
      </c>
      <c r="H58" s="10">
        <f>IFERROR(VLOOKUP(C58,BD!$A$2:$C$12,3,FALSE),"")</f>
        <v/>
      </c>
      <c r="I58" s="13">
        <f>IFERROR((G58*H58)/48,"")</f>
        <v/>
      </c>
      <c r="J58" s="14">
        <f>IFERROR(D58*E58*F58*I58,"")</f>
        <v/>
      </c>
    </row>
    <row r="59">
      <c r="B59" s="6">
        <f>IFERROR(VLOOKUP(A59,WBS!A$4:B$200,2,FALSE),"")</f>
        <v/>
      </c>
      <c r="G59" s="9">
        <f>IFERROR(VLOOKUP(C59,BD!$A$2:$C$12,2,FALSE),"")</f>
        <v/>
      </c>
      <c r="H59" s="10">
        <f>IFERROR(VLOOKUP(C59,BD!$A$2:$C$12,3,FALSE),"")</f>
        <v/>
      </c>
      <c r="I59" s="13">
        <f>IFERROR((G59*H59)/48,"")</f>
        <v/>
      </c>
      <c r="J59" s="14">
        <f>IFERROR(D59*E59*F59*I59,"")</f>
        <v/>
      </c>
    </row>
    <row r="60">
      <c r="B60" s="6">
        <f>IFERROR(VLOOKUP(A60,WBS!A$4:B$200,2,FALSE),"")</f>
        <v/>
      </c>
      <c r="G60" s="9">
        <f>IFERROR(VLOOKUP(C60,BD!$A$2:$C$12,2,FALSE),"")</f>
        <v/>
      </c>
      <c r="H60" s="10">
        <f>IFERROR(VLOOKUP(C60,BD!$A$2:$C$12,3,FALSE),"")</f>
        <v/>
      </c>
      <c r="I60" s="13">
        <f>IFERROR((G60*H60)/48,"")</f>
        <v/>
      </c>
      <c r="J60" s="14">
        <f>IFERROR(D60*E60*F60*I60,"")</f>
        <v/>
      </c>
    </row>
    <row r="61">
      <c r="B61" s="6">
        <f>IFERROR(VLOOKUP(A61,WBS!A$4:B$200,2,FALSE),"")</f>
        <v/>
      </c>
      <c r="G61" s="9">
        <f>IFERROR(VLOOKUP(C61,BD!$A$2:$C$12,2,FALSE),"")</f>
        <v/>
      </c>
      <c r="H61" s="10">
        <f>IFERROR(VLOOKUP(C61,BD!$A$2:$C$12,3,FALSE),"")</f>
        <v/>
      </c>
      <c r="I61" s="13">
        <f>IFERROR((G61*H61)/48,"")</f>
        <v/>
      </c>
      <c r="J61" s="14">
        <f>IFERROR(D61*E61*F61*I61,"")</f>
        <v/>
      </c>
    </row>
    <row r="62">
      <c r="B62" s="6">
        <f>IFERROR(VLOOKUP(A62,WBS!A$4:B$200,2,FALSE),"")</f>
        <v/>
      </c>
      <c r="G62" s="9">
        <f>IFERROR(VLOOKUP(C62,BD!$A$2:$C$12,2,FALSE),"")</f>
        <v/>
      </c>
      <c r="H62" s="10">
        <f>IFERROR(VLOOKUP(C62,BD!$A$2:$C$12,3,FALSE),"")</f>
        <v/>
      </c>
      <c r="I62" s="13">
        <f>IFERROR((G62*H62)/48,"")</f>
        <v/>
      </c>
      <c r="J62" s="14">
        <f>IFERROR(D62*E62*F62*I62,"")</f>
        <v/>
      </c>
    </row>
    <row r="63">
      <c r="B63" s="6">
        <f>IFERROR(VLOOKUP(A63,WBS!A$4:B$200,2,FALSE),"")</f>
        <v/>
      </c>
      <c r="G63" s="9">
        <f>IFERROR(VLOOKUP(C63,BD!$A$2:$C$12,2,FALSE),"")</f>
        <v/>
      </c>
      <c r="H63" s="10">
        <f>IFERROR(VLOOKUP(C63,BD!$A$2:$C$12,3,FALSE),"")</f>
        <v/>
      </c>
      <c r="I63" s="13">
        <f>IFERROR((G63*H63)/48,"")</f>
        <v/>
      </c>
      <c r="J63" s="14">
        <f>IFERROR(D63*E63*F63*I63,"")</f>
        <v/>
      </c>
    </row>
    <row r="64">
      <c r="B64" s="6">
        <f>IFERROR(VLOOKUP(A64,WBS!A$4:B$200,2,FALSE),"")</f>
        <v/>
      </c>
      <c r="G64" s="9">
        <f>IFERROR(VLOOKUP(C64,BD!$A$2:$C$12,2,FALSE),"")</f>
        <v/>
      </c>
      <c r="H64" s="10">
        <f>IFERROR(VLOOKUP(C64,BD!$A$2:$C$12,3,FALSE),"")</f>
        <v/>
      </c>
      <c r="I64" s="13">
        <f>IFERROR((G64*H64)/48,"")</f>
        <v/>
      </c>
      <c r="J64" s="14">
        <f>IFERROR(D64*E64*F64*I64,"")</f>
        <v/>
      </c>
    </row>
    <row r="65">
      <c r="B65" s="6">
        <f>IFERROR(VLOOKUP(A65,WBS!A$4:B$200,2,FALSE),"")</f>
        <v/>
      </c>
      <c r="G65" s="9">
        <f>IFERROR(VLOOKUP(C65,BD!$A$2:$C$12,2,FALSE),"")</f>
        <v/>
      </c>
      <c r="H65" s="10">
        <f>IFERROR(VLOOKUP(C65,BD!$A$2:$C$12,3,FALSE),"")</f>
        <v/>
      </c>
      <c r="I65" s="13">
        <f>IFERROR((G65*H65)/48,"")</f>
        <v/>
      </c>
      <c r="J65" s="14">
        <f>IFERROR(D65*E65*F65*I65,"")</f>
        <v/>
      </c>
    </row>
    <row r="66">
      <c r="B66" s="6">
        <f>IFERROR(VLOOKUP(A66,WBS!A$4:B$200,2,FALSE),"")</f>
        <v/>
      </c>
      <c r="G66" s="9">
        <f>IFERROR(VLOOKUP(C66,BD!$A$2:$C$12,2,FALSE),"")</f>
        <v/>
      </c>
      <c r="H66" s="10">
        <f>IFERROR(VLOOKUP(C66,BD!$A$2:$C$12,3,FALSE),"")</f>
        <v/>
      </c>
      <c r="I66" s="13">
        <f>IFERROR((G66*H66)/48,"")</f>
        <v/>
      </c>
      <c r="J66" s="14">
        <f>IFERROR(D66*E66*F66*I66,"")</f>
        <v/>
      </c>
    </row>
    <row r="67">
      <c r="B67" s="6">
        <f>IFERROR(VLOOKUP(A67,WBS!A$4:B$200,2,FALSE),"")</f>
        <v/>
      </c>
      <c r="G67" s="9">
        <f>IFERROR(VLOOKUP(C67,BD!$A$2:$C$12,2,FALSE),"")</f>
        <v/>
      </c>
      <c r="H67" s="10">
        <f>IFERROR(VLOOKUP(C67,BD!$A$2:$C$12,3,FALSE),"")</f>
        <v/>
      </c>
      <c r="I67" s="13">
        <f>IFERROR((G67*H67)/48,"")</f>
        <v/>
      </c>
      <c r="J67" s="14">
        <f>IFERROR(D67*E67*F67*I67,"")</f>
        <v/>
      </c>
    </row>
    <row r="68">
      <c r="B68" s="6">
        <f>IFERROR(VLOOKUP(A68,WBS!A$4:B$200,2,FALSE),"")</f>
        <v/>
      </c>
      <c r="G68" s="9">
        <f>IFERROR(VLOOKUP(C68,BD!$A$2:$C$12,2,FALSE),"")</f>
        <v/>
      </c>
      <c r="H68" s="10">
        <f>IFERROR(VLOOKUP(C68,BD!$A$2:$C$12,3,FALSE),"")</f>
        <v/>
      </c>
      <c r="I68" s="13">
        <f>IFERROR((G68*H68)/48,"")</f>
        <v/>
      </c>
      <c r="J68" s="14">
        <f>IFERROR(D68*E68*F68*I68,"")</f>
        <v/>
      </c>
    </row>
    <row r="69">
      <c r="B69" s="6">
        <f>IFERROR(VLOOKUP(A69,WBS!A$4:B$200,2,FALSE),"")</f>
        <v/>
      </c>
      <c r="G69" s="9">
        <f>IFERROR(VLOOKUP(C69,BD!$A$2:$C$12,2,FALSE),"")</f>
        <v/>
      </c>
      <c r="H69" s="10">
        <f>IFERROR(VLOOKUP(C69,BD!$A$2:$C$12,3,FALSE),"")</f>
        <v/>
      </c>
      <c r="I69" s="13">
        <f>IFERROR((G69*H69)/48,"")</f>
        <v/>
      </c>
      <c r="J69" s="14">
        <f>IFERROR(D69*E69*F69*I69,"")</f>
        <v/>
      </c>
    </row>
    <row r="70">
      <c r="B70" s="6">
        <f>IFERROR(VLOOKUP(A70,WBS!A$4:B$200,2,FALSE),"")</f>
        <v/>
      </c>
      <c r="G70" s="9">
        <f>IFERROR(VLOOKUP(C70,BD!$A$2:$C$12,2,FALSE),"")</f>
        <v/>
      </c>
      <c r="H70" s="10">
        <f>IFERROR(VLOOKUP(C70,BD!$A$2:$C$12,3,FALSE),"")</f>
        <v/>
      </c>
      <c r="I70" s="13">
        <f>IFERROR((G70*H70)/48,"")</f>
        <v/>
      </c>
      <c r="J70" s="14">
        <f>IFERROR(D70*E70*F70*I70,"")</f>
        <v/>
      </c>
    </row>
    <row r="71">
      <c r="B71" s="6">
        <f>IFERROR(VLOOKUP(A71,WBS!A$4:B$200,2,FALSE),"")</f>
        <v/>
      </c>
      <c r="G71" s="9">
        <f>IFERROR(VLOOKUP(C71,BD!$A$2:$C$12,2,FALSE),"")</f>
        <v/>
      </c>
      <c r="H71" s="10">
        <f>IFERROR(VLOOKUP(C71,BD!$A$2:$C$12,3,FALSE),"")</f>
        <v/>
      </c>
      <c r="I71" s="13">
        <f>IFERROR((G71*H71)/48,"")</f>
        <v/>
      </c>
      <c r="J71" s="14">
        <f>IFERROR(D71*E71*F71*I71,"")</f>
        <v/>
      </c>
    </row>
    <row r="72">
      <c r="B72" s="6">
        <f>IFERROR(VLOOKUP(A72,WBS!A$4:B$200,2,FALSE),"")</f>
        <v/>
      </c>
      <c r="G72" s="9">
        <f>IFERROR(VLOOKUP(C72,BD!$A$2:$C$12,2,FALSE),"")</f>
        <v/>
      </c>
      <c r="H72" s="10">
        <f>IFERROR(VLOOKUP(C72,BD!$A$2:$C$12,3,FALSE),"")</f>
        <v/>
      </c>
      <c r="I72" s="13">
        <f>IFERROR((G72*H72)/48,"")</f>
        <v/>
      </c>
      <c r="J72" s="14">
        <f>IFERROR(D72*E72*F72*I72,"")</f>
        <v/>
      </c>
    </row>
    <row r="73">
      <c r="B73" s="6">
        <f>IFERROR(VLOOKUP(A73,WBS!A$4:B$200,2,FALSE),"")</f>
        <v/>
      </c>
      <c r="G73" s="9">
        <f>IFERROR(VLOOKUP(C73,BD!$A$2:$C$12,2,FALSE),"")</f>
        <v/>
      </c>
      <c r="H73" s="10">
        <f>IFERROR(VLOOKUP(C73,BD!$A$2:$C$12,3,FALSE),"")</f>
        <v/>
      </c>
      <c r="I73" s="13">
        <f>IFERROR((G73*H73)/48,"")</f>
        <v/>
      </c>
      <c r="J73" s="14">
        <f>IFERROR(D73*E73*F73*I73,"")</f>
        <v/>
      </c>
    </row>
    <row r="74">
      <c r="B74" s="6">
        <f>IFERROR(VLOOKUP(A74,WBS!A$4:B$200,2,FALSE),"")</f>
        <v/>
      </c>
      <c r="G74" s="9">
        <f>IFERROR(VLOOKUP(C74,BD!$A$2:$C$12,2,FALSE),"")</f>
        <v/>
      </c>
      <c r="H74" s="10">
        <f>IFERROR(VLOOKUP(C74,BD!$A$2:$C$12,3,FALSE),"")</f>
        <v/>
      </c>
      <c r="I74" s="13">
        <f>IFERROR((G74*H74)/48,"")</f>
        <v/>
      </c>
      <c r="J74" s="14">
        <f>IFERROR(D74*E74*F74*I74,"")</f>
        <v/>
      </c>
    </row>
    <row r="75">
      <c r="B75" s="6">
        <f>IFERROR(VLOOKUP(A75,WBS!A$4:B$200,2,FALSE),"")</f>
        <v/>
      </c>
      <c r="G75" s="9">
        <f>IFERROR(VLOOKUP(C75,BD!$A$2:$C$12,2,FALSE),"")</f>
        <v/>
      </c>
      <c r="H75" s="10">
        <f>IFERROR(VLOOKUP(C75,BD!$A$2:$C$12,3,FALSE),"")</f>
        <v/>
      </c>
      <c r="I75" s="13">
        <f>IFERROR((G75*H75)/48,"")</f>
        <v/>
      </c>
      <c r="J75" s="14">
        <f>IFERROR(D75*E75*F75*I75,"")</f>
        <v/>
      </c>
    </row>
    <row r="76">
      <c r="B76" s="6">
        <f>IFERROR(VLOOKUP(A76,WBS!A$4:B$200,2,FALSE),"")</f>
        <v/>
      </c>
      <c r="G76" s="9">
        <f>IFERROR(VLOOKUP(C76,BD!$A$2:$C$12,2,FALSE),"")</f>
        <v/>
      </c>
      <c r="H76" s="10">
        <f>IFERROR(VLOOKUP(C76,BD!$A$2:$C$12,3,FALSE),"")</f>
        <v/>
      </c>
      <c r="I76" s="13">
        <f>IFERROR((G76*H76)/48,"")</f>
        <v/>
      </c>
      <c r="J76" s="14">
        <f>IFERROR(D76*E76*F76*I76,"")</f>
        <v/>
      </c>
    </row>
    <row r="77">
      <c r="B77" s="6">
        <f>IFERROR(VLOOKUP(A77,WBS!A$4:B$200,2,FALSE),"")</f>
        <v/>
      </c>
      <c r="G77" s="9">
        <f>IFERROR(VLOOKUP(C77,BD!$A$2:$C$12,2,FALSE),"")</f>
        <v/>
      </c>
      <c r="H77" s="10">
        <f>IFERROR(VLOOKUP(C77,BD!$A$2:$C$12,3,FALSE),"")</f>
        <v/>
      </c>
      <c r="I77" s="13">
        <f>IFERROR((G77*H77)/48,"")</f>
        <v/>
      </c>
      <c r="J77" s="14">
        <f>IFERROR(D77*E77*F77*I77,"")</f>
        <v/>
      </c>
    </row>
    <row r="78">
      <c r="B78" s="6">
        <f>IFERROR(VLOOKUP(A78,WBS!A$4:B$200,2,FALSE),"")</f>
        <v/>
      </c>
      <c r="G78" s="9">
        <f>IFERROR(VLOOKUP(C78,BD!$A$2:$C$12,2,FALSE),"")</f>
        <v/>
      </c>
      <c r="H78" s="10">
        <f>IFERROR(VLOOKUP(C78,BD!$A$2:$C$12,3,FALSE),"")</f>
        <v/>
      </c>
      <c r="I78" s="13">
        <f>IFERROR((G78*H78)/48,"")</f>
        <v/>
      </c>
      <c r="J78" s="14">
        <f>IFERROR(D78*E78*F78*I78,"")</f>
        <v/>
      </c>
    </row>
    <row r="79">
      <c r="B79" s="6">
        <f>IFERROR(VLOOKUP(A79,WBS!A$4:B$200,2,FALSE),"")</f>
        <v/>
      </c>
      <c r="G79" s="9">
        <f>IFERROR(VLOOKUP(C79,BD!$A$2:$C$12,2,FALSE),"")</f>
        <v/>
      </c>
      <c r="H79" s="10">
        <f>IFERROR(VLOOKUP(C79,BD!$A$2:$C$12,3,FALSE),"")</f>
        <v/>
      </c>
      <c r="I79" s="13">
        <f>IFERROR((G79*H79)/48,"")</f>
        <v/>
      </c>
      <c r="J79" s="14">
        <f>IFERROR(D79*E79*F79*I79,"")</f>
        <v/>
      </c>
    </row>
    <row r="80">
      <c r="B80" s="6">
        <f>IFERROR(VLOOKUP(A80,WBS!A$4:B$200,2,FALSE),"")</f>
        <v/>
      </c>
      <c r="G80" s="9">
        <f>IFERROR(VLOOKUP(C80,BD!$A$2:$C$12,2,FALSE),"")</f>
        <v/>
      </c>
      <c r="H80" s="10">
        <f>IFERROR(VLOOKUP(C80,BD!$A$2:$C$12,3,FALSE),"")</f>
        <v/>
      </c>
      <c r="I80" s="13">
        <f>IFERROR((G80*H80)/48,"")</f>
        <v/>
      </c>
      <c r="J80" s="14">
        <f>IFERROR(D80*E80*F80*I80,"")</f>
        <v/>
      </c>
    </row>
    <row r="81">
      <c r="B81" s="6">
        <f>IFERROR(VLOOKUP(A81,WBS!A$4:B$200,2,FALSE),"")</f>
        <v/>
      </c>
      <c r="G81" s="9">
        <f>IFERROR(VLOOKUP(C81,BD!$A$2:$C$12,2,FALSE),"")</f>
        <v/>
      </c>
      <c r="H81" s="10">
        <f>IFERROR(VLOOKUP(C81,BD!$A$2:$C$12,3,FALSE),"")</f>
        <v/>
      </c>
      <c r="I81" s="13">
        <f>IFERROR((G81*H81)/48,"")</f>
        <v/>
      </c>
      <c r="J81" s="14">
        <f>IFERROR(D81*E81*F81*I81,"")</f>
        <v/>
      </c>
    </row>
    <row r="82">
      <c r="B82" s="6">
        <f>IFERROR(VLOOKUP(A82,WBS!A$4:B$200,2,FALSE),"")</f>
        <v/>
      </c>
      <c r="G82" s="9">
        <f>IFERROR(VLOOKUP(C82,BD!$A$2:$C$12,2,FALSE),"")</f>
        <v/>
      </c>
      <c r="H82" s="10">
        <f>IFERROR(VLOOKUP(C82,BD!$A$2:$C$12,3,FALSE),"")</f>
        <v/>
      </c>
      <c r="I82" s="13">
        <f>IFERROR((G82*H82)/48,"")</f>
        <v/>
      </c>
      <c r="J82" s="14">
        <f>IFERROR(D82*E82*F82*I82,"")</f>
        <v/>
      </c>
    </row>
    <row r="83">
      <c r="B83" s="6">
        <f>IFERROR(VLOOKUP(A83,WBS!A$4:B$200,2,FALSE),"")</f>
        <v/>
      </c>
      <c r="G83" s="9">
        <f>IFERROR(VLOOKUP(C83,BD!$A$2:$C$12,2,FALSE),"")</f>
        <v/>
      </c>
      <c r="H83" s="10">
        <f>IFERROR(VLOOKUP(C83,BD!$A$2:$C$12,3,FALSE),"")</f>
        <v/>
      </c>
      <c r="I83" s="13">
        <f>IFERROR((G83*H83)/48,"")</f>
        <v/>
      </c>
      <c r="J83" s="14">
        <f>IFERROR(D83*E83*F83*I83,"")</f>
        <v/>
      </c>
    </row>
    <row r="84">
      <c r="B84" s="6">
        <f>IFERROR(VLOOKUP(A84,WBS!A$4:B$200,2,FALSE),"")</f>
        <v/>
      </c>
      <c r="G84" s="9">
        <f>IFERROR(VLOOKUP(C84,BD!$A$2:$C$12,2,FALSE),"")</f>
        <v/>
      </c>
      <c r="H84" s="10">
        <f>IFERROR(VLOOKUP(C84,BD!$A$2:$C$12,3,FALSE),"")</f>
        <v/>
      </c>
      <c r="I84" s="13">
        <f>IFERROR((G84*H84)/48,"")</f>
        <v/>
      </c>
      <c r="J84" s="14">
        <f>IFERROR(D84*E84*F84*I84,"")</f>
        <v/>
      </c>
    </row>
    <row r="85">
      <c r="B85" s="6">
        <f>IFERROR(VLOOKUP(A85,WBS!A$4:B$200,2,FALSE),"")</f>
        <v/>
      </c>
      <c r="G85" s="9">
        <f>IFERROR(VLOOKUP(C85,BD!$A$2:$C$12,2,FALSE),"")</f>
        <v/>
      </c>
      <c r="H85" s="10">
        <f>IFERROR(VLOOKUP(C85,BD!$A$2:$C$12,3,FALSE),"")</f>
        <v/>
      </c>
      <c r="I85" s="13">
        <f>IFERROR((G85*H85)/48,"")</f>
        <v/>
      </c>
      <c r="J85" s="14">
        <f>IFERROR(D85*E85*F85*I85,"")</f>
        <v/>
      </c>
    </row>
    <row r="86">
      <c r="B86" s="6">
        <f>IFERROR(VLOOKUP(A86,WBS!A$4:B$200,2,FALSE),"")</f>
        <v/>
      </c>
      <c r="G86" s="9">
        <f>IFERROR(VLOOKUP(C86,BD!$A$2:$C$12,2,FALSE),"")</f>
        <v/>
      </c>
      <c r="H86" s="10">
        <f>IFERROR(VLOOKUP(C86,BD!$A$2:$C$12,3,FALSE),"")</f>
        <v/>
      </c>
      <c r="I86" s="13">
        <f>IFERROR((G86*H86)/48,"")</f>
        <v/>
      </c>
      <c r="J86" s="14">
        <f>IFERROR(D86*E86*F86*I86,"")</f>
        <v/>
      </c>
    </row>
    <row r="87">
      <c r="B87" s="6">
        <f>IFERROR(VLOOKUP(A87,WBS!A$4:B$200,2,FALSE),"")</f>
        <v/>
      </c>
      <c r="G87" s="9">
        <f>IFERROR(VLOOKUP(C87,BD!$A$2:$C$12,2,FALSE),"")</f>
        <v/>
      </c>
      <c r="H87" s="10">
        <f>IFERROR(VLOOKUP(C87,BD!$A$2:$C$12,3,FALSE),"")</f>
        <v/>
      </c>
      <c r="I87" s="13">
        <f>IFERROR((G87*H87)/48,"")</f>
        <v/>
      </c>
      <c r="J87" s="14">
        <f>IFERROR(D87*E87*F87*I87,"")</f>
        <v/>
      </c>
    </row>
    <row r="88">
      <c r="B88" s="6">
        <f>IFERROR(VLOOKUP(A88,WBS!A$4:B$200,2,FALSE),"")</f>
        <v/>
      </c>
      <c r="G88" s="9">
        <f>IFERROR(VLOOKUP(C88,BD!$A$2:$C$12,2,FALSE),"")</f>
        <v/>
      </c>
      <c r="H88" s="10">
        <f>IFERROR(VLOOKUP(C88,BD!$A$2:$C$12,3,FALSE),"")</f>
        <v/>
      </c>
      <c r="I88" s="13">
        <f>IFERROR((G88*H88)/48,"")</f>
        <v/>
      </c>
      <c r="J88" s="14">
        <f>IFERROR(D88*E88*F88*I88,"")</f>
        <v/>
      </c>
    </row>
    <row r="89">
      <c r="B89" s="6">
        <f>IFERROR(VLOOKUP(A89,WBS!A$4:B$200,2,FALSE),"")</f>
        <v/>
      </c>
      <c r="G89" s="9">
        <f>IFERROR(VLOOKUP(C89,BD!$A$2:$C$12,2,FALSE),"")</f>
        <v/>
      </c>
      <c r="H89" s="10">
        <f>IFERROR(VLOOKUP(C89,BD!$A$2:$C$12,3,FALSE),"")</f>
        <v/>
      </c>
      <c r="I89" s="13">
        <f>IFERROR((G89*H89)/48,"")</f>
        <v/>
      </c>
      <c r="J89" s="14">
        <f>IFERROR(D89*E89*F89*I89,"")</f>
        <v/>
      </c>
    </row>
    <row r="90">
      <c r="B90" s="6">
        <f>IFERROR(VLOOKUP(A90,WBS!A$4:B$200,2,FALSE),"")</f>
        <v/>
      </c>
      <c r="G90" s="9">
        <f>IFERROR(VLOOKUP(C90,BD!$A$2:$C$12,2,FALSE),"")</f>
        <v/>
      </c>
      <c r="H90" s="10">
        <f>IFERROR(VLOOKUP(C90,BD!$A$2:$C$12,3,FALSE),"")</f>
        <v/>
      </c>
      <c r="I90" s="13">
        <f>IFERROR((G90*H90)/48,"")</f>
        <v/>
      </c>
      <c r="J90" s="14">
        <f>IFERROR(D90*E90*F90*I90,"")</f>
        <v/>
      </c>
    </row>
    <row r="91">
      <c r="B91" s="6">
        <f>IFERROR(VLOOKUP(A91,WBS!A$4:B$200,2,FALSE),"")</f>
        <v/>
      </c>
      <c r="G91" s="9">
        <f>IFERROR(VLOOKUP(C91,BD!$A$2:$C$12,2,FALSE),"")</f>
        <v/>
      </c>
      <c r="H91" s="10">
        <f>IFERROR(VLOOKUP(C91,BD!$A$2:$C$12,3,FALSE),"")</f>
        <v/>
      </c>
      <c r="I91" s="13">
        <f>IFERROR((G91*H91)/48,"")</f>
        <v/>
      </c>
      <c r="J91" s="14">
        <f>IFERROR(D91*E91*F91*I91,"")</f>
        <v/>
      </c>
    </row>
    <row r="92">
      <c r="B92" s="6">
        <f>IFERROR(VLOOKUP(A92,WBS!A$4:B$200,2,FALSE),"")</f>
        <v/>
      </c>
      <c r="G92" s="9">
        <f>IFERROR(VLOOKUP(C92,BD!$A$2:$C$12,2,FALSE),"")</f>
        <v/>
      </c>
      <c r="H92" s="10">
        <f>IFERROR(VLOOKUP(C92,BD!$A$2:$C$12,3,FALSE),"")</f>
        <v/>
      </c>
      <c r="I92" s="13">
        <f>IFERROR((G92*H92)/48,"")</f>
        <v/>
      </c>
      <c r="J92" s="14">
        <f>IFERROR(D92*E92*F92*I92,"")</f>
        <v/>
      </c>
    </row>
    <row r="93">
      <c r="B93" s="6">
        <f>IFERROR(VLOOKUP(A93,WBS!A$4:B$200,2,FALSE),"")</f>
        <v/>
      </c>
      <c r="G93" s="9">
        <f>IFERROR(VLOOKUP(C93,BD!$A$2:$C$12,2,FALSE),"")</f>
        <v/>
      </c>
      <c r="H93" s="10">
        <f>IFERROR(VLOOKUP(C93,BD!$A$2:$C$12,3,FALSE),"")</f>
        <v/>
      </c>
      <c r="I93" s="13">
        <f>IFERROR((G93*H93)/48,"")</f>
        <v/>
      </c>
      <c r="J93" s="14">
        <f>IFERROR(D93*E93*F93*I93,"")</f>
        <v/>
      </c>
    </row>
    <row r="94">
      <c r="B94" s="6">
        <f>IFERROR(VLOOKUP(A94,WBS!A$4:B$200,2,FALSE),"")</f>
        <v/>
      </c>
      <c r="G94" s="9">
        <f>IFERROR(VLOOKUP(C94,BD!$A$2:$C$12,2,FALSE),"")</f>
        <v/>
      </c>
      <c r="H94" s="10">
        <f>IFERROR(VLOOKUP(C94,BD!$A$2:$C$12,3,FALSE),"")</f>
        <v/>
      </c>
      <c r="I94" s="13">
        <f>IFERROR((G94*H94)/48,"")</f>
        <v/>
      </c>
      <c r="J94" s="14">
        <f>IFERROR(D94*E94*F94*I94,"")</f>
        <v/>
      </c>
    </row>
    <row r="95">
      <c r="B95" s="6">
        <f>IFERROR(VLOOKUP(A95,WBS!A$4:B$200,2,FALSE),"")</f>
        <v/>
      </c>
      <c r="G95" s="9">
        <f>IFERROR(VLOOKUP(C95,BD!$A$2:$C$12,2,FALSE),"")</f>
        <v/>
      </c>
      <c r="H95" s="10">
        <f>IFERROR(VLOOKUP(C95,BD!$A$2:$C$12,3,FALSE),"")</f>
        <v/>
      </c>
      <c r="I95" s="13">
        <f>IFERROR((G95*H95)/48,"")</f>
        <v/>
      </c>
      <c r="J95" s="14">
        <f>IFERROR(D95*E95*F95*I95,"")</f>
        <v/>
      </c>
    </row>
    <row r="96">
      <c r="B96" s="6">
        <f>IFERROR(VLOOKUP(A96,WBS!A$4:B$200,2,FALSE),"")</f>
        <v/>
      </c>
      <c r="G96" s="9">
        <f>IFERROR(VLOOKUP(C96,BD!$A$2:$C$12,2,FALSE),"")</f>
        <v/>
      </c>
      <c r="H96" s="10">
        <f>IFERROR(VLOOKUP(C96,BD!$A$2:$C$12,3,FALSE),"")</f>
        <v/>
      </c>
      <c r="I96" s="13">
        <f>IFERROR((G96*H96)/48,"")</f>
        <v/>
      </c>
      <c r="J96" s="14">
        <f>IFERROR(D96*E96*F96*I96,"")</f>
        <v/>
      </c>
    </row>
    <row r="97">
      <c r="B97" s="6">
        <f>IFERROR(VLOOKUP(A97,WBS!A$4:B$200,2,FALSE),"")</f>
        <v/>
      </c>
      <c r="G97" s="9">
        <f>IFERROR(VLOOKUP(C97,BD!$A$2:$C$12,2,FALSE),"")</f>
        <v/>
      </c>
      <c r="H97" s="10">
        <f>IFERROR(VLOOKUP(C97,BD!$A$2:$C$12,3,FALSE),"")</f>
        <v/>
      </c>
      <c r="I97" s="13">
        <f>IFERROR((G97*H97)/48,"")</f>
        <v/>
      </c>
      <c r="J97" s="14">
        <f>IFERROR(D97*E97*F97*I97,"")</f>
        <v/>
      </c>
    </row>
    <row r="98">
      <c r="B98" s="6">
        <f>IFERROR(VLOOKUP(A98,WBS!A$4:B$200,2,FALSE),"")</f>
        <v/>
      </c>
      <c r="G98" s="9">
        <f>IFERROR(VLOOKUP(C98,BD!$A$2:$C$12,2,FALSE),"")</f>
        <v/>
      </c>
      <c r="H98" s="10">
        <f>IFERROR(VLOOKUP(C98,BD!$A$2:$C$12,3,FALSE),"")</f>
        <v/>
      </c>
      <c r="I98" s="13">
        <f>IFERROR((G98*H98)/48,"")</f>
        <v/>
      </c>
      <c r="J98" s="14">
        <f>IFERROR(D98*E98*F98*I98,"")</f>
        <v/>
      </c>
    </row>
    <row r="99">
      <c r="B99" s="6">
        <f>IFERROR(VLOOKUP(A99,WBS!A$4:B$200,2,FALSE),"")</f>
        <v/>
      </c>
      <c r="G99" s="9">
        <f>IFERROR(VLOOKUP(C99,BD!$A$2:$C$12,2,FALSE),"")</f>
        <v/>
      </c>
      <c r="H99" s="10">
        <f>IFERROR(VLOOKUP(C99,BD!$A$2:$C$12,3,FALSE),"")</f>
        <v/>
      </c>
      <c r="I99" s="13">
        <f>IFERROR((G99*H99)/48,"")</f>
        <v/>
      </c>
      <c r="J99" s="14">
        <f>IFERROR(D99*E99*F99*I99,"")</f>
        <v/>
      </c>
    </row>
    <row r="100">
      <c r="B100" s="6">
        <f>IFERROR(VLOOKUP(A100,WBS!A$4:B$200,2,FALSE),"")</f>
        <v/>
      </c>
      <c r="G100" s="9">
        <f>IFERROR(VLOOKUP(C100,BD!$A$2:$C$12,2,FALSE),"")</f>
        <v/>
      </c>
      <c r="H100" s="10">
        <f>IFERROR(VLOOKUP(C100,BD!$A$2:$C$12,3,FALSE),"")</f>
        <v/>
      </c>
      <c r="I100" s="13">
        <f>IFERROR((G100*H100)/48,"")</f>
        <v/>
      </c>
      <c r="J100" s="14">
        <f>IFERROR(D100*E100*F100*I100,"")</f>
        <v/>
      </c>
    </row>
    <row r="101">
      <c r="B101" s="6">
        <f>IFERROR(VLOOKUP(A101,WBS!A$4:B$200,2,FALSE),"")</f>
        <v/>
      </c>
      <c r="G101" s="9">
        <f>IFERROR(VLOOKUP(C101,BD!$A$2:$C$12,2,FALSE),"")</f>
        <v/>
      </c>
      <c r="H101" s="10">
        <f>IFERROR(VLOOKUP(C101,BD!$A$2:$C$12,3,FALSE),"")</f>
        <v/>
      </c>
      <c r="I101" s="13">
        <f>IFERROR((G101*H101)/48,"")</f>
        <v/>
      </c>
      <c r="J101" s="14">
        <f>IFERROR(D101*E101*F101*I101,"")</f>
        <v/>
      </c>
    </row>
    <row r="102">
      <c r="B102" s="6">
        <f>IFERROR(VLOOKUP(A102,WBS!A$4:B$200,2,FALSE),"")</f>
        <v/>
      </c>
      <c r="G102" s="9">
        <f>IFERROR(VLOOKUP(C102,BD!$A$2:$C$12,2,FALSE),"")</f>
        <v/>
      </c>
      <c r="H102" s="10">
        <f>IFERROR(VLOOKUP(C102,BD!$A$2:$C$12,3,FALSE),"")</f>
        <v/>
      </c>
      <c r="I102" s="13">
        <f>IFERROR((G102*H102)/48,"")</f>
        <v/>
      </c>
      <c r="J102" s="14">
        <f>IFERROR(D102*E102*F102*I102,"")</f>
        <v/>
      </c>
    </row>
    <row r="103">
      <c r="B103" s="6">
        <f>IFERROR(VLOOKUP(A103,WBS!A$4:B$200,2,FALSE),"")</f>
        <v/>
      </c>
      <c r="G103" s="9">
        <f>IFERROR(VLOOKUP(C103,BD!$A$2:$C$12,2,FALSE),"")</f>
        <v/>
      </c>
      <c r="H103" s="10">
        <f>IFERROR(VLOOKUP(C103,BD!$A$2:$C$12,3,FALSE),"")</f>
        <v/>
      </c>
      <c r="I103" s="13">
        <f>IFERROR((G103*H103)/48,"")</f>
        <v/>
      </c>
      <c r="J103" s="14">
        <f>IFERROR(D103*E103*F103*I103,"")</f>
        <v/>
      </c>
    </row>
    <row r="104">
      <c r="B104" s="6">
        <f>IFERROR(VLOOKUP(A104,WBS!A$4:B$200,2,FALSE),"")</f>
        <v/>
      </c>
      <c r="G104" s="9">
        <f>IFERROR(VLOOKUP(C104,BD!$A$2:$C$12,2,FALSE),"")</f>
        <v/>
      </c>
      <c r="H104" s="10">
        <f>IFERROR(VLOOKUP(C104,BD!$A$2:$C$12,3,FALSE),"")</f>
        <v/>
      </c>
      <c r="I104" s="13">
        <f>IFERROR((G104*H104)/48,"")</f>
        <v/>
      </c>
      <c r="J104" s="14">
        <f>IFERROR(D104*E104*F104*I104,"")</f>
        <v/>
      </c>
    </row>
    <row r="105">
      <c r="B105" s="6">
        <f>IFERROR(VLOOKUP(A105,WBS!A$4:B$200,2,FALSE),"")</f>
        <v/>
      </c>
      <c r="G105" s="9">
        <f>IFERROR(VLOOKUP(C105,BD!$A$2:$C$12,2,FALSE),"")</f>
        <v/>
      </c>
      <c r="H105" s="10">
        <f>IFERROR(VLOOKUP(C105,BD!$A$2:$C$12,3,FALSE),"")</f>
        <v/>
      </c>
      <c r="I105" s="13">
        <f>IFERROR((G105*H105)/48,"")</f>
        <v/>
      </c>
      <c r="J105" s="14">
        <f>IFERROR(D105*E105*F105*I105,"")</f>
        <v/>
      </c>
    </row>
    <row r="106">
      <c r="B106" s="6">
        <f>IFERROR(VLOOKUP(A106,WBS!A$4:B$200,2,FALSE),"")</f>
        <v/>
      </c>
      <c r="G106" s="9">
        <f>IFERROR(VLOOKUP(C106,BD!$A$2:$C$12,2,FALSE),"")</f>
        <v/>
      </c>
      <c r="H106" s="10">
        <f>IFERROR(VLOOKUP(C106,BD!$A$2:$C$12,3,FALSE),"")</f>
        <v/>
      </c>
      <c r="I106" s="13">
        <f>IFERROR((G106*H106)/48,"")</f>
        <v/>
      </c>
      <c r="J106" s="14">
        <f>IFERROR(D106*E106*F106*I106,"")</f>
        <v/>
      </c>
    </row>
    <row r="107">
      <c r="B107" s="6">
        <f>IFERROR(VLOOKUP(A107,WBS!A$4:B$200,2,FALSE),"")</f>
        <v/>
      </c>
      <c r="G107" s="9">
        <f>IFERROR(VLOOKUP(C107,BD!$A$2:$C$12,2,FALSE),"")</f>
        <v/>
      </c>
      <c r="H107" s="10">
        <f>IFERROR(VLOOKUP(C107,BD!$A$2:$C$12,3,FALSE),"")</f>
        <v/>
      </c>
      <c r="I107" s="13">
        <f>IFERROR((G107*H107)/48,"")</f>
        <v/>
      </c>
      <c r="J107" s="14">
        <f>IFERROR(D107*E107*F107*I107,"")</f>
        <v/>
      </c>
    </row>
    <row r="108">
      <c r="B108" s="6">
        <f>IFERROR(VLOOKUP(A108,WBS!A$4:B$200,2,FALSE),"")</f>
        <v/>
      </c>
      <c r="G108" s="9">
        <f>IFERROR(VLOOKUP(C108,BD!$A$2:$C$12,2,FALSE),"")</f>
        <v/>
      </c>
      <c r="H108" s="10">
        <f>IFERROR(VLOOKUP(C108,BD!$A$2:$C$12,3,FALSE),"")</f>
        <v/>
      </c>
      <c r="I108" s="13">
        <f>IFERROR((G108*H108)/48,"")</f>
        <v/>
      </c>
      <c r="J108" s="14">
        <f>IFERROR(D108*E108*F108*I108,"")</f>
        <v/>
      </c>
    </row>
    <row r="109">
      <c r="B109" s="6">
        <f>IFERROR(VLOOKUP(A109,WBS!A$4:B$200,2,FALSE),"")</f>
        <v/>
      </c>
      <c r="G109" s="9">
        <f>IFERROR(VLOOKUP(C109,BD!$A$2:$C$12,2,FALSE),"")</f>
        <v/>
      </c>
      <c r="H109" s="10">
        <f>IFERROR(VLOOKUP(C109,BD!$A$2:$C$12,3,FALSE),"")</f>
        <v/>
      </c>
      <c r="I109" s="13">
        <f>IFERROR((G109*H109)/48,"")</f>
        <v/>
      </c>
      <c r="J109" s="14">
        <f>IFERROR(D109*E109*F109*I109,"")</f>
        <v/>
      </c>
    </row>
    <row r="110">
      <c r="B110" s="6">
        <f>IFERROR(VLOOKUP(A110,WBS!A$4:B$200,2,FALSE),"")</f>
        <v/>
      </c>
      <c r="G110" s="9">
        <f>IFERROR(VLOOKUP(C110,BD!$A$2:$C$12,2,FALSE),"")</f>
        <v/>
      </c>
      <c r="H110" s="10">
        <f>IFERROR(VLOOKUP(C110,BD!$A$2:$C$12,3,FALSE),"")</f>
        <v/>
      </c>
      <c r="I110" s="13">
        <f>IFERROR((G110*H110)/48,"")</f>
        <v/>
      </c>
      <c r="J110" s="14">
        <f>IFERROR(D110*E110*F110*I110,"")</f>
        <v/>
      </c>
    </row>
    <row r="111">
      <c r="B111" s="6">
        <f>IFERROR(VLOOKUP(A111,WBS!A$4:B$200,2,FALSE),"")</f>
        <v/>
      </c>
      <c r="G111" s="9">
        <f>IFERROR(VLOOKUP(C111,BD!$A$2:$C$12,2,FALSE),"")</f>
        <v/>
      </c>
      <c r="H111" s="10">
        <f>IFERROR(VLOOKUP(C111,BD!$A$2:$C$12,3,FALSE),"")</f>
        <v/>
      </c>
      <c r="I111" s="13">
        <f>IFERROR((G111*H111)/48,"")</f>
        <v/>
      </c>
      <c r="J111" s="14">
        <f>IFERROR(D111*E111*F111*I111,"")</f>
        <v/>
      </c>
    </row>
    <row r="112">
      <c r="B112" s="6">
        <f>IFERROR(VLOOKUP(A112,WBS!A$4:B$200,2,FALSE),"")</f>
        <v/>
      </c>
      <c r="G112" s="9">
        <f>IFERROR(VLOOKUP(C112,BD!$A$2:$C$12,2,FALSE),"")</f>
        <v/>
      </c>
      <c r="H112" s="10">
        <f>IFERROR(VLOOKUP(C112,BD!$A$2:$C$12,3,FALSE),"")</f>
        <v/>
      </c>
      <c r="I112" s="13">
        <f>IFERROR((G112*H112)/48,"")</f>
        <v/>
      </c>
      <c r="J112" s="14">
        <f>IFERROR(D112*E112*F112*I112,"")</f>
        <v/>
      </c>
    </row>
    <row r="113">
      <c r="B113" s="6">
        <f>IFERROR(VLOOKUP(A113,WBS!A$4:B$200,2,FALSE),"")</f>
        <v/>
      </c>
      <c r="G113" s="9">
        <f>IFERROR(VLOOKUP(C113,BD!$A$2:$C$12,2,FALSE),"")</f>
        <v/>
      </c>
      <c r="H113" s="10">
        <f>IFERROR(VLOOKUP(C113,BD!$A$2:$C$12,3,FALSE),"")</f>
        <v/>
      </c>
      <c r="I113" s="13">
        <f>IFERROR((G113*H113)/48,"")</f>
        <v/>
      </c>
      <c r="J113" s="14">
        <f>IFERROR(D113*E113*F113*I113,"")</f>
        <v/>
      </c>
    </row>
    <row r="114">
      <c r="B114" s="6">
        <f>IFERROR(VLOOKUP(A114,WBS!A$4:B$200,2,FALSE),"")</f>
        <v/>
      </c>
      <c r="G114" s="9">
        <f>IFERROR(VLOOKUP(C114,BD!$A$2:$C$12,2,FALSE),"")</f>
        <v/>
      </c>
      <c r="H114" s="10">
        <f>IFERROR(VLOOKUP(C114,BD!$A$2:$C$12,3,FALSE),"")</f>
        <v/>
      </c>
      <c r="I114" s="13">
        <f>IFERROR((G114*H114)/48,"")</f>
        <v/>
      </c>
      <c r="J114" s="14">
        <f>IFERROR(D114*E114*F114*I114,"")</f>
        <v/>
      </c>
    </row>
    <row r="115">
      <c r="B115" s="6">
        <f>IFERROR(VLOOKUP(A115,WBS!A$4:B$200,2,FALSE),"")</f>
        <v/>
      </c>
      <c r="G115" s="9">
        <f>IFERROR(VLOOKUP(C115,BD!$A$2:$C$12,2,FALSE),"")</f>
        <v/>
      </c>
      <c r="H115" s="10">
        <f>IFERROR(VLOOKUP(C115,BD!$A$2:$C$12,3,FALSE),"")</f>
        <v/>
      </c>
      <c r="I115" s="13">
        <f>IFERROR((G115*H115)/48,"")</f>
        <v/>
      </c>
      <c r="J115" s="14">
        <f>IFERROR(D115*E115*F115*I115,"")</f>
        <v/>
      </c>
    </row>
    <row r="116">
      <c r="B116" s="6">
        <f>IFERROR(VLOOKUP(A116,WBS!A$4:B$200,2,FALSE),"")</f>
        <v/>
      </c>
      <c r="G116" s="9">
        <f>IFERROR(VLOOKUP(C116,BD!$A$2:$C$12,2,FALSE),"")</f>
        <v/>
      </c>
      <c r="H116" s="10">
        <f>IFERROR(VLOOKUP(C116,BD!$A$2:$C$12,3,FALSE),"")</f>
        <v/>
      </c>
      <c r="I116" s="13">
        <f>IFERROR((G116*H116)/48,"")</f>
        <v/>
      </c>
      <c r="J116" s="14">
        <f>IFERROR(D116*E116*F116*I116,"")</f>
        <v/>
      </c>
    </row>
    <row r="117">
      <c r="B117" s="6">
        <f>IFERROR(VLOOKUP(A117,WBS!A$4:B$200,2,FALSE),"")</f>
        <v/>
      </c>
      <c r="G117" s="9">
        <f>IFERROR(VLOOKUP(C117,BD!$A$2:$C$12,2,FALSE),"")</f>
        <v/>
      </c>
      <c r="H117" s="10">
        <f>IFERROR(VLOOKUP(C117,BD!$A$2:$C$12,3,FALSE),"")</f>
        <v/>
      </c>
      <c r="I117" s="13">
        <f>IFERROR((G117*H117)/48,"")</f>
        <v/>
      </c>
      <c r="J117" s="14">
        <f>IFERROR(D117*E117*F117*I117,"")</f>
        <v/>
      </c>
    </row>
    <row r="118">
      <c r="B118" s="6">
        <f>IFERROR(VLOOKUP(A118,WBS!A$4:B$200,2,FALSE),"")</f>
        <v/>
      </c>
      <c r="G118" s="9">
        <f>IFERROR(VLOOKUP(C118,BD!$A$2:$C$12,2,FALSE),"")</f>
        <v/>
      </c>
      <c r="H118" s="10">
        <f>IFERROR(VLOOKUP(C118,BD!$A$2:$C$12,3,FALSE),"")</f>
        <v/>
      </c>
      <c r="I118" s="13">
        <f>IFERROR((G118*H118)/48,"")</f>
        <v/>
      </c>
      <c r="J118" s="14">
        <f>IFERROR(D118*E118*F118*I118,"")</f>
        <v/>
      </c>
    </row>
    <row r="119">
      <c r="B119" s="6">
        <f>IFERROR(VLOOKUP(A119,WBS!A$4:B$200,2,FALSE),"")</f>
        <v/>
      </c>
      <c r="G119" s="9">
        <f>IFERROR(VLOOKUP(C119,BD!$A$2:$C$12,2,FALSE),"")</f>
        <v/>
      </c>
      <c r="H119" s="10">
        <f>IFERROR(VLOOKUP(C119,BD!$A$2:$C$12,3,FALSE),"")</f>
        <v/>
      </c>
      <c r="I119" s="13">
        <f>IFERROR((G119*H119)/48,"")</f>
        <v/>
      </c>
      <c r="J119" s="14">
        <f>IFERROR(D119*E119*F119*I119,"")</f>
        <v/>
      </c>
    </row>
    <row r="120">
      <c r="B120" s="6">
        <f>IFERROR(VLOOKUP(A120,WBS!A$4:B$200,2,FALSE),"")</f>
        <v/>
      </c>
      <c r="G120" s="9">
        <f>IFERROR(VLOOKUP(C120,BD!$A$2:$C$12,2,FALSE),"")</f>
        <v/>
      </c>
      <c r="H120" s="10">
        <f>IFERROR(VLOOKUP(C120,BD!$A$2:$C$12,3,FALSE),"")</f>
        <v/>
      </c>
      <c r="I120" s="13">
        <f>IFERROR((G120*H120)/48,"")</f>
        <v/>
      </c>
      <c r="J120" s="14">
        <f>IFERROR(D120*E120*F120*I120,"")</f>
        <v/>
      </c>
    </row>
    <row r="121">
      <c r="B121" s="6">
        <f>IFERROR(VLOOKUP(A121,WBS!A$4:B$200,2,FALSE),"")</f>
        <v/>
      </c>
      <c r="G121" s="9">
        <f>IFERROR(VLOOKUP(C121,BD!$A$2:$C$12,2,FALSE),"")</f>
        <v/>
      </c>
      <c r="H121" s="10">
        <f>IFERROR(VLOOKUP(C121,BD!$A$2:$C$12,3,FALSE),"")</f>
        <v/>
      </c>
      <c r="I121" s="13">
        <f>IFERROR((G121*H121)/48,"")</f>
        <v/>
      </c>
      <c r="J121" s="14">
        <f>IFERROR(D121*E121*F121*I121,"")</f>
        <v/>
      </c>
    </row>
    <row r="122">
      <c r="B122" s="6">
        <f>IFERROR(VLOOKUP(A122,WBS!A$4:B$200,2,FALSE),"")</f>
        <v/>
      </c>
      <c r="G122" s="9">
        <f>IFERROR(VLOOKUP(C122,BD!$A$2:$C$12,2,FALSE),"")</f>
        <v/>
      </c>
      <c r="H122" s="10">
        <f>IFERROR(VLOOKUP(C122,BD!$A$2:$C$12,3,FALSE),"")</f>
        <v/>
      </c>
      <c r="I122" s="13">
        <f>IFERROR((G122*H122)/48,"")</f>
        <v/>
      </c>
      <c r="J122" s="14">
        <f>IFERROR(D122*E122*F122*I122,"")</f>
        <v/>
      </c>
    </row>
    <row r="123">
      <c r="B123" s="6">
        <f>IFERROR(VLOOKUP(A123,WBS!A$4:B$200,2,FALSE),"")</f>
        <v/>
      </c>
      <c r="G123" s="9">
        <f>IFERROR(VLOOKUP(C123,BD!$A$2:$C$12,2,FALSE),"")</f>
        <v/>
      </c>
      <c r="H123" s="10">
        <f>IFERROR(VLOOKUP(C123,BD!$A$2:$C$12,3,FALSE),"")</f>
        <v/>
      </c>
      <c r="I123" s="13">
        <f>IFERROR((G123*H123)/48,"")</f>
        <v/>
      </c>
      <c r="J123" s="14">
        <f>IFERROR(D123*E123*F123*I123,"")</f>
        <v/>
      </c>
    </row>
    <row r="124">
      <c r="B124" s="6">
        <f>IFERROR(VLOOKUP(A124,WBS!A$4:B$200,2,FALSE),"")</f>
        <v/>
      </c>
      <c r="G124" s="9">
        <f>IFERROR(VLOOKUP(C124,BD!$A$2:$C$12,2,FALSE),"")</f>
        <v/>
      </c>
      <c r="H124" s="10">
        <f>IFERROR(VLOOKUP(C124,BD!$A$2:$C$12,3,FALSE),"")</f>
        <v/>
      </c>
      <c r="I124" s="13">
        <f>IFERROR((G124*H124)/48,"")</f>
        <v/>
      </c>
      <c r="J124" s="14">
        <f>IFERROR(D124*E124*F124*I124,"")</f>
        <v/>
      </c>
    </row>
    <row r="125">
      <c r="B125" s="6">
        <f>IFERROR(VLOOKUP(A125,WBS!A$4:B$200,2,FALSE),"")</f>
        <v/>
      </c>
      <c r="G125" s="9">
        <f>IFERROR(VLOOKUP(C125,BD!$A$2:$C$12,2,FALSE),"")</f>
        <v/>
      </c>
      <c r="H125" s="10">
        <f>IFERROR(VLOOKUP(C125,BD!$A$2:$C$12,3,FALSE),"")</f>
        <v/>
      </c>
      <c r="I125" s="13">
        <f>IFERROR((G125*H125)/48,"")</f>
        <v/>
      </c>
      <c r="J125" s="14">
        <f>IFERROR(D125*E125*F125*I125,"")</f>
        <v/>
      </c>
    </row>
    <row r="126">
      <c r="B126" s="6">
        <f>IFERROR(VLOOKUP(A126,WBS!A$4:B$200,2,FALSE),"")</f>
        <v/>
      </c>
      <c r="G126" s="9">
        <f>IFERROR(VLOOKUP(C126,BD!$A$2:$C$12,2,FALSE),"")</f>
        <v/>
      </c>
      <c r="H126" s="10">
        <f>IFERROR(VLOOKUP(C126,BD!$A$2:$C$12,3,FALSE),"")</f>
        <v/>
      </c>
      <c r="I126" s="13">
        <f>IFERROR((G126*H126)/48,"")</f>
        <v/>
      </c>
      <c r="J126" s="14">
        <f>IFERROR(D126*E126*F126*I126,"")</f>
        <v/>
      </c>
    </row>
    <row r="127">
      <c r="B127" s="6">
        <f>IFERROR(VLOOKUP(A127,WBS!A$4:B$200,2,FALSE),"")</f>
        <v/>
      </c>
      <c r="G127" s="9">
        <f>IFERROR(VLOOKUP(C127,BD!$A$2:$C$12,2,FALSE),"")</f>
        <v/>
      </c>
      <c r="H127" s="10">
        <f>IFERROR(VLOOKUP(C127,BD!$A$2:$C$12,3,FALSE),"")</f>
        <v/>
      </c>
      <c r="I127" s="13">
        <f>IFERROR((G127*H127)/48,"")</f>
        <v/>
      </c>
      <c r="J127" s="14">
        <f>IFERROR(D127*E127*F127*I127,"")</f>
        <v/>
      </c>
    </row>
    <row r="128">
      <c r="B128" s="6">
        <f>IFERROR(VLOOKUP(A128,WBS!A$4:B$200,2,FALSE),"")</f>
        <v/>
      </c>
      <c r="G128" s="9">
        <f>IFERROR(VLOOKUP(C128,BD!$A$2:$C$12,2,FALSE),"")</f>
        <v/>
      </c>
      <c r="H128" s="10">
        <f>IFERROR(VLOOKUP(C128,BD!$A$2:$C$12,3,FALSE),"")</f>
        <v/>
      </c>
      <c r="I128" s="13">
        <f>IFERROR((G128*H128)/48,"")</f>
        <v/>
      </c>
      <c r="J128" s="14">
        <f>IFERROR(D128*E128*F128*I128,"")</f>
        <v/>
      </c>
    </row>
    <row r="129">
      <c r="B129" s="6">
        <f>IFERROR(VLOOKUP(A129,WBS!A$4:B$200,2,FALSE),"")</f>
        <v/>
      </c>
      <c r="G129" s="9">
        <f>IFERROR(VLOOKUP(C129,BD!$A$2:$C$12,2,FALSE),"")</f>
        <v/>
      </c>
      <c r="H129" s="10">
        <f>IFERROR(VLOOKUP(C129,BD!$A$2:$C$12,3,FALSE),"")</f>
        <v/>
      </c>
      <c r="I129" s="13">
        <f>IFERROR((G129*H129)/48,"")</f>
        <v/>
      </c>
      <c r="J129" s="14">
        <f>IFERROR(D129*E129*F129*I129,"")</f>
        <v/>
      </c>
    </row>
    <row r="130">
      <c r="B130" s="6">
        <f>IFERROR(VLOOKUP(A130,WBS!A$4:B$200,2,FALSE),"")</f>
        <v/>
      </c>
      <c r="G130" s="9">
        <f>IFERROR(VLOOKUP(C130,BD!$A$2:$C$12,2,FALSE),"")</f>
        <v/>
      </c>
      <c r="H130" s="10">
        <f>IFERROR(VLOOKUP(C130,BD!$A$2:$C$12,3,FALSE),"")</f>
        <v/>
      </c>
      <c r="I130" s="13">
        <f>IFERROR((G130*H130)/48,"")</f>
        <v/>
      </c>
      <c r="J130" s="14">
        <f>IFERROR(D130*E130*F130*I130,"")</f>
        <v/>
      </c>
    </row>
    <row r="131">
      <c r="B131" s="6">
        <f>IFERROR(VLOOKUP(A131,WBS!A$4:B$200,2,FALSE),"")</f>
        <v/>
      </c>
      <c r="G131" s="9">
        <f>IFERROR(VLOOKUP(C131,BD!$A$2:$C$12,2,FALSE),"")</f>
        <v/>
      </c>
      <c r="H131" s="10">
        <f>IFERROR(VLOOKUP(C131,BD!$A$2:$C$12,3,FALSE),"")</f>
        <v/>
      </c>
      <c r="I131" s="13">
        <f>IFERROR((G131*H131)/48,"")</f>
        <v/>
      </c>
      <c r="J131" s="14">
        <f>IFERROR(D131*E131*F131*I131,"")</f>
        <v/>
      </c>
    </row>
    <row r="132">
      <c r="B132" s="6">
        <f>IFERROR(VLOOKUP(A132,WBS!A$4:B$200,2,FALSE),"")</f>
        <v/>
      </c>
      <c r="G132" s="9">
        <f>IFERROR(VLOOKUP(C132,BD!$A$2:$C$12,2,FALSE),"")</f>
        <v/>
      </c>
      <c r="H132" s="10">
        <f>IFERROR(VLOOKUP(C132,BD!$A$2:$C$12,3,FALSE),"")</f>
        <v/>
      </c>
      <c r="I132" s="13">
        <f>IFERROR((G132*H132)/48,"")</f>
        <v/>
      </c>
      <c r="J132" s="14">
        <f>IFERROR(D132*E132*F132*I132,"")</f>
        <v/>
      </c>
    </row>
    <row r="133">
      <c r="B133" s="6">
        <f>IFERROR(VLOOKUP(A133,WBS!A$4:B$200,2,FALSE),"")</f>
        <v/>
      </c>
      <c r="G133" s="9">
        <f>IFERROR(VLOOKUP(C133,BD!$A$2:$C$12,2,FALSE),"")</f>
        <v/>
      </c>
      <c r="H133" s="10">
        <f>IFERROR(VLOOKUP(C133,BD!$A$2:$C$12,3,FALSE),"")</f>
        <v/>
      </c>
      <c r="I133" s="13">
        <f>IFERROR((G133*H133)/48,"")</f>
        <v/>
      </c>
      <c r="J133" s="14">
        <f>IFERROR(D133*E133*F133*I133,"")</f>
        <v/>
      </c>
    </row>
    <row r="134">
      <c r="B134" s="6">
        <f>IFERROR(VLOOKUP(A134,WBS!A$4:B$200,2,FALSE),"")</f>
        <v/>
      </c>
      <c r="G134" s="9">
        <f>IFERROR(VLOOKUP(C134,BD!$A$2:$C$12,2,FALSE),"")</f>
        <v/>
      </c>
      <c r="H134" s="10">
        <f>IFERROR(VLOOKUP(C134,BD!$A$2:$C$12,3,FALSE),"")</f>
        <v/>
      </c>
      <c r="I134" s="13">
        <f>IFERROR((G134*H134)/48,"")</f>
        <v/>
      </c>
      <c r="J134" s="14">
        <f>IFERROR(D134*E134*F134*I134,"")</f>
        <v/>
      </c>
    </row>
    <row r="135">
      <c r="B135" s="6">
        <f>IFERROR(VLOOKUP(A135,WBS!A$4:B$200,2,FALSE),"")</f>
        <v/>
      </c>
      <c r="G135" s="9">
        <f>IFERROR(VLOOKUP(C135,BD!$A$2:$C$12,2,FALSE),"")</f>
        <v/>
      </c>
      <c r="H135" s="10">
        <f>IFERROR(VLOOKUP(C135,BD!$A$2:$C$12,3,FALSE),"")</f>
        <v/>
      </c>
      <c r="I135" s="13">
        <f>IFERROR((G135*H135)/48,"")</f>
        <v/>
      </c>
      <c r="J135" s="14">
        <f>IFERROR(D135*E135*F135*I135,"")</f>
        <v/>
      </c>
    </row>
    <row r="136">
      <c r="B136" s="6">
        <f>IFERROR(VLOOKUP(A136,WBS!A$4:B$200,2,FALSE),"")</f>
        <v/>
      </c>
      <c r="G136" s="9">
        <f>IFERROR(VLOOKUP(C136,BD!$A$2:$C$12,2,FALSE),"")</f>
        <v/>
      </c>
      <c r="H136" s="10">
        <f>IFERROR(VLOOKUP(C136,BD!$A$2:$C$12,3,FALSE),"")</f>
        <v/>
      </c>
      <c r="I136" s="13">
        <f>IFERROR((G136*H136)/48,"")</f>
        <v/>
      </c>
      <c r="J136" s="14">
        <f>IFERROR(D136*E136*F136*I136,"")</f>
        <v/>
      </c>
    </row>
    <row r="137">
      <c r="B137" s="6">
        <f>IFERROR(VLOOKUP(A137,WBS!A$4:B$200,2,FALSE),"")</f>
        <v/>
      </c>
      <c r="G137" s="9">
        <f>IFERROR(VLOOKUP(C137,BD!$A$2:$C$12,2,FALSE),"")</f>
        <v/>
      </c>
      <c r="H137" s="10">
        <f>IFERROR(VLOOKUP(C137,BD!$A$2:$C$12,3,FALSE),"")</f>
        <v/>
      </c>
      <c r="I137" s="13">
        <f>IFERROR((G137*H137)/48,"")</f>
        <v/>
      </c>
      <c r="J137" s="14">
        <f>IFERROR(D137*E137*F137*I137,"")</f>
        <v/>
      </c>
    </row>
    <row r="138">
      <c r="B138" s="6">
        <f>IFERROR(VLOOKUP(A138,WBS!A$4:B$200,2,FALSE),"")</f>
        <v/>
      </c>
      <c r="G138" s="9">
        <f>IFERROR(VLOOKUP(C138,BD!$A$2:$C$12,2,FALSE),"")</f>
        <v/>
      </c>
      <c r="H138" s="10">
        <f>IFERROR(VLOOKUP(C138,BD!$A$2:$C$12,3,FALSE),"")</f>
        <v/>
      </c>
      <c r="I138" s="13">
        <f>IFERROR((G138*H138)/48,"")</f>
        <v/>
      </c>
      <c r="J138" s="14">
        <f>IFERROR(D138*E138*F138*I138,"")</f>
        <v/>
      </c>
    </row>
    <row r="139">
      <c r="B139" s="6">
        <f>IFERROR(VLOOKUP(A139,WBS!A$4:B$200,2,FALSE),"")</f>
        <v/>
      </c>
      <c r="G139" s="9">
        <f>IFERROR(VLOOKUP(C139,BD!$A$2:$C$12,2,FALSE),"")</f>
        <v/>
      </c>
      <c r="H139" s="10">
        <f>IFERROR(VLOOKUP(C139,BD!$A$2:$C$12,3,FALSE),"")</f>
        <v/>
      </c>
      <c r="I139" s="13">
        <f>IFERROR((G139*H139)/48,"")</f>
        <v/>
      </c>
      <c r="J139" s="14">
        <f>IFERROR(D139*E139*F139*I139,"")</f>
        <v/>
      </c>
    </row>
    <row r="140">
      <c r="B140" s="6">
        <f>IFERROR(VLOOKUP(A140,WBS!A$4:B$200,2,FALSE),"")</f>
        <v/>
      </c>
      <c r="G140" s="9">
        <f>IFERROR(VLOOKUP(C140,BD!$A$2:$C$12,2,FALSE),"")</f>
        <v/>
      </c>
      <c r="H140" s="10">
        <f>IFERROR(VLOOKUP(C140,BD!$A$2:$C$12,3,FALSE),"")</f>
        <v/>
      </c>
      <c r="I140" s="13">
        <f>IFERROR((G140*H140)/48,"")</f>
        <v/>
      </c>
      <c r="J140" s="14">
        <f>IFERROR(D140*E140*F140*I140,"")</f>
        <v/>
      </c>
    </row>
    <row r="141">
      <c r="B141" s="6">
        <f>IFERROR(VLOOKUP(A141,WBS!A$4:B$200,2,FALSE),"")</f>
        <v/>
      </c>
      <c r="G141" s="9">
        <f>IFERROR(VLOOKUP(C141,BD!$A$2:$C$12,2,FALSE),"")</f>
        <v/>
      </c>
      <c r="H141" s="10">
        <f>IFERROR(VLOOKUP(C141,BD!$A$2:$C$12,3,FALSE),"")</f>
        <v/>
      </c>
      <c r="I141" s="13">
        <f>IFERROR((G141*H141)/48,"")</f>
        <v/>
      </c>
      <c r="J141" s="14">
        <f>IFERROR(D141*E141*F141*I141,"")</f>
        <v/>
      </c>
    </row>
    <row r="142">
      <c r="B142" s="6">
        <f>IFERROR(VLOOKUP(A142,WBS!A$4:B$200,2,FALSE),"")</f>
        <v/>
      </c>
      <c r="G142" s="9">
        <f>IFERROR(VLOOKUP(C142,BD!$A$2:$C$12,2,FALSE),"")</f>
        <v/>
      </c>
      <c r="H142" s="10">
        <f>IFERROR(VLOOKUP(C142,BD!$A$2:$C$12,3,FALSE),"")</f>
        <v/>
      </c>
      <c r="I142" s="13">
        <f>IFERROR((G142*H142)/48,"")</f>
        <v/>
      </c>
      <c r="J142" s="14">
        <f>IFERROR(D142*E142*F142*I142,"")</f>
        <v/>
      </c>
    </row>
    <row r="143">
      <c r="B143" s="6">
        <f>IFERROR(VLOOKUP(A143,WBS!A$4:B$200,2,FALSE),"")</f>
        <v/>
      </c>
      <c r="G143" s="9">
        <f>IFERROR(VLOOKUP(C143,BD!$A$2:$C$12,2,FALSE),"")</f>
        <v/>
      </c>
      <c r="H143" s="10">
        <f>IFERROR(VLOOKUP(C143,BD!$A$2:$C$12,3,FALSE),"")</f>
        <v/>
      </c>
      <c r="I143" s="13">
        <f>IFERROR((G143*H143)/48,"")</f>
        <v/>
      </c>
      <c r="J143" s="14">
        <f>IFERROR(D143*E143*F143*I143,"")</f>
        <v/>
      </c>
    </row>
    <row r="144">
      <c r="B144" s="6">
        <f>IFERROR(VLOOKUP(A144,WBS!A$4:B$200,2,FALSE),"")</f>
        <v/>
      </c>
      <c r="G144" s="9">
        <f>IFERROR(VLOOKUP(C144,BD!$A$2:$C$12,2,FALSE),"")</f>
        <v/>
      </c>
      <c r="H144" s="10">
        <f>IFERROR(VLOOKUP(C144,BD!$A$2:$C$12,3,FALSE),"")</f>
        <v/>
      </c>
      <c r="I144" s="13">
        <f>IFERROR((G144*H144)/48,"")</f>
        <v/>
      </c>
      <c r="J144" s="14">
        <f>IFERROR(D144*E144*F144*I144,"")</f>
        <v/>
      </c>
    </row>
    <row r="145">
      <c r="B145" s="6">
        <f>IFERROR(VLOOKUP(A145,WBS!A$4:B$200,2,FALSE),"")</f>
        <v/>
      </c>
      <c r="G145" s="9">
        <f>IFERROR(VLOOKUP(C145,BD!$A$2:$C$12,2,FALSE),"")</f>
        <v/>
      </c>
      <c r="H145" s="10">
        <f>IFERROR(VLOOKUP(C145,BD!$A$2:$C$12,3,FALSE),"")</f>
        <v/>
      </c>
      <c r="I145" s="13">
        <f>IFERROR((G145*H145)/48,"")</f>
        <v/>
      </c>
      <c r="J145" s="14">
        <f>IFERROR(D145*E145*F145*I145,"")</f>
        <v/>
      </c>
    </row>
    <row r="146">
      <c r="B146" s="6">
        <f>IFERROR(VLOOKUP(A146,WBS!A$4:B$200,2,FALSE),"")</f>
        <v/>
      </c>
      <c r="G146" s="9">
        <f>IFERROR(VLOOKUP(C146,BD!$A$2:$C$12,2,FALSE),"")</f>
        <v/>
      </c>
      <c r="H146" s="10">
        <f>IFERROR(VLOOKUP(C146,BD!$A$2:$C$12,3,FALSE),"")</f>
        <v/>
      </c>
      <c r="I146" s="13">
        <f>IFERROR((G146*H146)/48,"")</f>
        <v/>
      </c>
      <c r="J146" s="14">
        <f>IFERROR(D146*E146*F146*I146,"")</f>
        <v/>
      </c>
    </row>
    <row r="147">
      <c r="B147" s="6">
        <f>IFERROR(VLOOKUP(A147,WBS!A$4:B$200,2,FALSE),"")</f>
        <v/>
      </c>
      <c r="G147" s="9">
        <f>IFERROR(VLOOKUP(C147,BD!$A$2:$C$12,2,FALSE),"")</f>
        <v/>
      </c>
      <c r="H147" s="10">
        <f>IFERROR(VLOOKUP(C147,BD!$A$2:$C$12,3,FALSE),"")</f>
        <v/>
      </c>
      <c r="I147" s="13">
        <f>IFERROR((G147*H147)/48,"")</f>
        <v/>
      </c>
      <c r="J147" s="14">
        <f>IFERROR(D147*E147*F147*I147,"")</f>
        <v/>
      </c>
    </row>
    <row r="148">
      <c r="B148" s="6">
        <f>IFERROR(VLOOKUP(A148,WBS!A$4:B$200,2,FALSE),"")</f>
        <v/>
      </c>
      <c r="G148" s="9">
        <f>IFERROR(VLOOKUP(C148,BD!$A$2:$C$12,2,FALSE),"")</f>
        <v/>
      </c>
      <c r="H148" s="10">
        <f>IFERROR(VLOOKUP(C148,BD!$A$2:$C$12,3,FALSE),"")</f>
        <v/>
      </c>
      <c r="I148" s="13">
        <f>IFERROR((G148*H148)/48,"")</f>
        <v/>
      </c>
      <c r="J148" s="14">
        <f>IFERROR(D148*E148*F148*I148,"")</f>
        <v/>
      </c>
    </row>
    <row r="149">
      <c r="B149" s="6">
        <f>IFERROR(VLOOKUP(A149,WBS!A$4:B$200,2,FALSE),"")</f>
        <v/>
      </c>
      <c r="G149" s="9">
        <f>IFERROR(VLOOKUP(C149,BD!$A$2:$C$12,2,FALSE),"")</f>
        <v/>
      </c>
      <c r="H149" s="10">
        <f>IFERROR(VLOOKUP(C149,BD!$A$2:$C$12,3,FALSE),"")</f>
        <v/>
      </c>
      <c r="I149" s="13">
        <f>IFERROR((G149*H149)/48,"")</f>
        <v/>
      </c>
      <c r="J149" s="14">
        <f>IFERROR(D149*E149*F149*I149,"")</f>
        <v/>
      </c>
    </row>
    <row r="150">
      <c r="B150" s="6">
        <f>IFERROR(VLOOKUP(A150,WBS!A$4:B$200,2,FALSE),"")</f>
        <v/>
      </c>
      <c r="G150" s="9">
        <f>IFERROR(VLOOKUP(C150,BD!$A$2:$C$12,2,FALSE),"")</f>
        <v/>
      </c>
      <c r="H150" s="10">
        <f>IFERROR(VLOOKUP(C150,BD!$A$2:$C$12,3,FALSE),"")</f>
        <v/>
      </c>
      <c r="I150" s="13">
        <f>IFERROR((G150*H150)/48,"")</f>
        <v/>
      </c>
      <c r="J150" s="14">
        <f>IFERROR(D150*E150*F150*I150,"")</f>
        <v/>
      </c>
    </row>
    <row r="151">
      <c r="B151" s="6">
        <f>IFERROR(VLOOKUP(A151,WBS!A$4:B$200,2,FALSE),"")</f>
        <v/>
      </c>
      <c r="G151" s="9">
        <f>IFERROR(VLOOKUP(C151,BD!$A$2:$C$12,2,FALSE),"")</f>
        <v/>
      </c>
      <c r="H151" s="10">
        <f>IFERROR(VLOOKUP(C151,BD!$A$2:$C$12,3,FALSE),"")</f>
        <v/>
      </c>
      <c r="I151" s="13">
        <f>IFERROR((G151*H151)/48,"")</f>
        <v/>
      </c>
      <c r="J151" s="14">
        <f>IFERROR(D151*E151*F151*I151,"")</f>
        <v/>
      </c>
    </row>
    <row r="152">
      <c r="B152" s="6">
        <f>IFERROR(VLOOKUP(A152,WBS!A$4:B$200,2,FALSE),"")</f>
        <v/>
      </c>
      <c r="G152" s="9">
        <f>IFERROR(VLOOKUP(C152,BD!$A$2:$C$12,2,FALSE),"")</f>
        <v/>
      </c>
      <c r="H152" s="10">
        <f>IFERROR(VLOOKUP(C152,BD!$A$2:$C$12,3,FALSE),"")</f>
        <v/>
      </c>
      <c r="I152" s="13">
        <f>IFERROR((G152*H152)/48,"")</f>
        <v/>
      </c>
      <c r="J152" s="14">
        <f>IFERROR(D152*E152*F152*I152,"")</f>
        <v/>
      </c>
    </row>
    <row r="153">
      <c r="B153" s="6">
        <f>IFERROR(VLOOKUP(A153,WBS!A$4:B$200,2,FALSE),"")</f>
        <v/>
      </c>
      <c r="G153" s="9">
        <f>IFERROR(VLOOKUP(C153,BD!$A$2:$C$12,2,FALSE),"")</f>
        <v/>
      </c>
      <c r="H153" s="10">
        <f>IFERROR(VLOOKUP(C153,BD!$A$2:$C$12,3,FALSE),"")</f>
        <v/>
      </c>
      <c r="I153" s="13">
        <f>IFERROR((G153*H153)/48,"")</f>
        <v/>
      </c>
      <c r="J153" s="14">
        <f>IFERROR(D153*E153*F153*I153,"")</f>
        <v/>
      </c>
    </row>
    <row r="154">
      <c r="B154" s="6">
        <f>IFERROR(VLOOKUP(A154,WBS!A$4:B$200,2,FALSE),"")</f>
        <v/>
      </c>
      <c r="G154" s="9">
        <f>IFERROR(VLOOKUP(C154,BD!$A$2:$C$12,2,FALSE),"")</f>
        <v/>
      </c>
      <c r="H154" s="10">
        <f>IFERROR(VLOOKUP(C154,BD!$A$2:$C$12,3,FALSE),"")</f>
        <v/>
      </c>
      <c r="I154" s="13">
        <f>IFERROR((G154*H154)/48,"")</f>
        <v/>
      </c>
      <c r="J154" s="14">
        <f>IFERROR(D154*E154*F154*I154,"")</f>
        <v/>
      </c>
    </row>
    <row r="155">
      <c r="B155" s="6">
        <f>IFERROR(VLOOKUP(A155,WBS!A$4:B$200,2,FALSE),"")</f>
        <v/>
      </c>
      <c r="G155" s="9">
        <f>IFERROR(VLOOKUP(C155,BD!$A$2:$C$12,2,FALSE),"")</f>
        <v/>
      </c>
      <c r="H155" s="10">
        <f>IFERROR(VLOOKUP(C155,BD!$A$2:$C$12,3,FALSE),"")</f>
        <v/>
      </c>
      <c r="I155" s="13">
        <f>IFERROR((G155*H155)/48,"")</f>
        <v/>
      </c>
      <c r="J155" s="14">
        <f>IFERROR(D155*E155*F155*I155,"")</f>
        <v/>
      </c>
    </row>
    <row r="156">
      <c r="B156" s="6">
        <f>IFERROR(VLOOKUP(A156,WBS!A$4:B$200,2,FALSE),"")</f>
        <v/>
      </c>
      <c r="G156" s="9">
        <f>IFERROR(VLOOKUP(C156,BD!$A$2:$C$12,2,FALSE),"")</f>
        <v/>
      </c>
      <c r="H156" s="10">
        <f>IFERROR(VLOOKUP(C156,BD!$A$2:$C$12,3,FALSE),"")</f>
        <v/>
      </c>
      <c r="I156" s="13">
        <f>IFERROR((G156*H156)/48,"")</f>
        <v/>
      </c>
      <c r="J156" s="14">
        <f>IFERROR(D156*E156*F156*I156,"")</f>
        <v/>
      </c>
    </row>
    <row r="157">
      <c r="B157" s="6">
        <f>IFERROR(VLOOKUP(A157,WBS!A$4:B$200,2,FALSE),"")</f>
        <v/>
      </c>
      <c r="G157" s="9">
        <f>IFERROR(VLOOKUP(C157,BD!$A$2:$C$12,2,FALSE),"")</f>
        <v/>
      </c>
      <c r="H157" s="10">
        <f>IFERROR(VLOOKUP(C157,BD!$A$2:$C$12,3,FALSE),"")</f>
        <v/>
      </c>
      <c r="I157" s="13">
        <f>IFERROR((G157*H157)/48,"")</f>
        <v/>
      </c>
      <c r="J157" s="14">
        <f>IFERROR(D157*E157*F157*I157,"")</f>
        <v/>
      </c>
    </row>
    <row r="158">
      <c r="B158" s="6">
        <f>IFERROR(VLOOKUP(A158,WBS!A$4:B$200,2,FALSE),"")</f>
        <v/>
      </c>
      <c r="G158" s="9">
        <f>IFERROR(VLOOKUP(C158,BD!$A$2:$C$12,2,FALSE),"")</f>
        <v/>
      </c>
      <c r="H158" s="10">
        <f>IFERROR(VLOOKUP(C158,BD!$A$2:$C$12,3,FALSE),"")</f>
        <v/>
      </c>
      <c r="I158" s="13">
        <f>IFERROR((G158*H158)/48,"")</f>
        <v/>
      </c>
      <c r="J158" s="14">
        <f>IFERROR(D158*E158*F158*I158,"")</f>
        <v/>
      </c>
    </row>
    <row r="159">
      <c r="B159" s="6">
        <f>IFERROR(VLOOKUP(A159,WBS!A$4:B$200,2,FALSE),"")</f>
        <v/>
      </c>
      <c r="G159" s="9">
        <f>IFERROR(VLOOKUP(C159,BD!$A$2:$C$12,2,FALSE),"")</f>
        <v/>
      </c>
      <c r="H159" s="10">
        <f>IFERROR(VLOOKUP(C159,BD!$A$2:$C$12,3,FALSE),"")</f>
        <v/>
      </c>
      <c r="I159" s="13">
        <f>IFERROR((G159*H159)/48,"")</f>
        <v/>
      </c>
      <c r="J159" s="14">
        <f>IFERROR(D159*E159*F159*I159,"")</f>
        <v/>
      </c>
    </row>
    <row r="160">
      <c r="B160" s="6">
        <f>IFERROR(VLOOKUP(A160,WBS!A$4:B$200,2,FALSE),"")</f>
        <v/>
      </c>
      <c r="G160" s="9">
        <f>IFERROR(VLOOKUP(C160,BD!$A$2:$C$12,2,FALSE),"")</f>
        <v/>
      </c>
      <c r="H160" s="10">
        <f>IFERROR(VLOOKUP(C160,BD!$A$2:$C$12,3,FALSE),"")</f>
        <v/>
      </c>
      <c r="I160" s="13">
        <f>IFERROR((G160*H160)/48,"")</f>
        <v/>
      </c>
      <c r="J160" s="14">
        <f>IFERROR(D160*E160*F160*I160,"")</f>
        <v/>
      </c>
    </row>
    <row r="161">
      <c r="B161" s="6">
        <f>IFERROR(VLOOKUP(A161,WBS!A$4:B$200,2,FALSE),"")</f>
        <v/>
      </c>
      <c r="G161" s="9">
        <f>IFERROR(VLOOKUP(C161,BD!$A$2:$C$12,2,FALSE),"")</f>
        <v/>
      </c>
      <c r="H161" s="10">
        <f>IFERROR(VLOOKUP(C161,BD!$A$2:$C$12,3,FALSE),"")</f>
        <v/>
      </c>
      <c r="I161" s="13">
        <f>IFERROR((G161*H161)/48,"")</f>
        <v/>
      </c>
      <c r="J161" s="14">
        <f>IFERROR(D161*E161*F161*I161,"")</f>
        <v/>
      </c>
    </row>
    <row r="162">
      <c r="B162" s="6">
        <f>IFERROR(VLOOKUP(A162,WBS!A$4:B$200,2,FALSE),"")</f>
        <v/>
      </c>
      <c r="G162" s="9">
        <f>IFERROR(VLOOKUP(C162,BD!$A$2:$C$12,2,FALSE),"")</f>
        <v/>
      </c>
      <c r="H162" s="10">
        <f>IFERROR(VLOOKUP(C162,BD!$A$2:$C$12,3,FALSE),"")</f>
        <v/>
      </c>
      <c r="I162" s="13">
        <f>IFERROR((G162*H162)/48,"")</f>
        <v/>
      </c>
      <c r="J162" s="14">
        <f>IFERROR(D162*E162*F162*I162,"")</f>
        <v/>
      </c>
    </row>
    <row r="163">
      <c r="B163" s="6">
        <f>IFERROR(VLOOKUP(A163,WBS!A$4:B$200,2,FALSE),"")</f>
        <v/>
      </c>
      <c r="G163" s="9">
        <f>IFERROR(VLOOKUP(C163,BD!$A$2:$C$12,2,FALSE),"")</f>
        <v/>
      </c>
      <c r="H163" s="10">
        <f>IFERROR(VLOOKUP(C163,BD!$A$2:$C$12,3,FALSE),"")</f>
        <v/>
      </c>
      <c r="I163" s="13">
        <f>IFERROR((G163*H163)/48,"")</f>
        <v/>
      </c>
      <c r="J163" s="14">
        <f>IFERROR(D163*E163*F163*I163,"")</f>
        <v/>
      </c>
    </row>
    <row r="164">
      <c r="B164" s="6">
        <f>IFERROR(VLOOKUP(A164,WBS!A$4:B$200,2,FALSE),"")</f>
        <v/>
      </c>
      <c r="G164" s="9">
        <f>IFERROR(VLOOKUP(C164,BD!$A$2:$C$12,2,FALSE),"")</f>
        <v/>
      </c>
      <c r="H164" s="10">
        <f>IFERROR(VLOOKUP(C164,BD!$A$2:$C$12,3,FALSE),"")</f>
        <v/>
      </c>
      <c r="I164" s="13">
        <f>IFERROR((G164*H164)/48,"")</f>
        <v/>
      </c>
      <c r="J164" s="14">
        <f>IFERROR(D164*E164*F164*I164,"")</f>
        <v/>
      </c>
    </row>
    <row r="165">
      <c r="B165" s="6">
        <f>IFERROR(VLOOKUP(A165,WBS!A$4:B$200,2,FALSE),"")</f>
        <v/>
      </c>
      <c r="G165" s="9">
        <f>IFERROR(VLOOKUP(C165,BD!$A$2:$C$12,2,FALSE),"")</f>
        <v/>
      </c>
      <c r="H165" s="10">
        <f>IFERROR(VLOOKUP(C165,BD!$A$2:$C$12,3,FALSE),"")</f>
        <v/>
      </c>
      <c r="I165" s="13">
        <f>IFERROR((G165*H165)/48,"")</f>
        <v/>
      </c>
      <c r="J165" s="14">
        <f>IFERROR(D165*E165*F165*I165,"")</f>
        <v/>
      </c>
    </row>
    <row r="166">
      <c r="B166" s="6">
        <f>IFERROR(VLOOKUP(A166,WBS!A$4:B$200,2,FALSE),"")</f>
        <v/>
      </c>
      <c r="G166" s="9">
        <f>IFERROR(VLOOKUP(C166,BD!$A$2:$C$12,2,FALSE),"")</f>
        <v/>
      </c>
      <c r="H166" s="10">
        <f>IFERROR(VLOOKUP(C166,BD!$A$2:$C$12,3,FALSE),"")</f>
        <v/>
      </c>
      <c r="I166" s="13">
        <f>IFERROR((G166*H166)/48,"")</f>
        <v/>
      </c>
      <c r="J166" s="14">
        <f>IFERROR(D166*E166*F166*I166,"")</f>
        <v/>
      </c>
    </row>
    <row r="167">
      <c r="B167" s="6">
        <f>IFERROR(VLOOKUP(A167,WBS!A$4:B$200,2,FALSE),"")</f>
        <v/>
      </c>
      <c r="G167" s="9">
        <f>IFERROR(VLOOKUP(C167,BD!$A$2:$C$12,2,FALSE),"")</f>
        <v/>
      </c>
      <c r="H167" s="10">
        <f>IFERROR(VLOOKUP(C167,BD!$A$2:$C$12,3,FALSE),"")</f>
        <v/>
      </c>
      <c r="I167" s="13">
        <f>IFERROR((G167*H167)/48,"")</f>
        <v/>
      </c>
      <c r="J167" s="14">
        <f>IFERROR(D167*E167*F167*I167,"")</f>
        <v/>
      </c>
    </row>
    <row r="168">
      <c r="B168" s="6">
        <f>IFERROR(VLOOKUP(A168,WBS!A$4:B$200,2,FALSE),"")</f>
        <v/>
      </c>
      <c r="G168" s="9">
        <f>IFERROR(VLOOKUP(C168,BD!$A$2:$C$12,2,FALSE),"")</f>
        <v/>
      </c>
      <c r="H168" s="10">
        <f>IFERROR(VLOOKUP(C168,BD!$A$2:$C$12,3,FALSE),"")</f>
        <v/>
      </c>
      <c r="I168" s="13">
        <f>IFERROR((G168*H168)/48,"")</f>
        <v/>
      </c>
      <c r="J168" s="14">
        <f>IFERROR(D168*E168*F168*I168,"")</f>
        <v/>
      </c>
    </row>
    <row r="169">
      <c r="B169" s="6">
        <f>IFERROR(VLOOKUP(A169,WBS!A$4:B$200,2,FALSE),"")</f>
        <v/>
      </c>
      <c r="G169" s="9">
        <f>IFERROR(VLOOKUP(C169,BD!$A$2:$C$12,2,FALSE),"")</f>
        <v/>
      </c>
      <c r="H169" s="10">
        <f>IFERROR(VLOOKUP(C169,BD!$A$2:$C$12,3,FALSE),"")</f>
        <v/>
      </c>
      <c r="I169" s="13">
        <f>IFERROR((G169*H169)/48,"")</f>
        <v/>
      </c>
      <c r="J169" s="14">
        <f>IFERROR(D169*E169*F169*I169,"")</f>
        <v/>
      </c>
    </row>
    <row r="170">
      <c r="B170" s="6">
        <f>IFERROR(VLOOKUP(A170,WBS!A$4:B$200,2,FALSE),"")</f>
        <v/>
      </c>
      <c r="G170" s="9">
        <f>IFERROR(VLOOKUP(C170,BD!$A$2:$C$12,2,FALSE),"")</f>
        <v/>
      </c>
      <c r="H170" s="10">
        <f>IFERROR(VLOOKUP(C170,BD!$A$2:$C$12,3,FALSE),"")</f>
        <v/>
      </c>
      <c r="I170" s="13">
        <f>IFERROR((G170*H170)/48,"")</f>
        <v/>
      </c>
      <c r="J170" s="14">
        <f>IFERROR(D170*E170*F170*I170,"")</f>
        <v/>
      </c>
    </row>
    <row r="171">
      <c r="B171" s="6">
        <f>IFERROR(VLOOKUP(A171,WBS!A$4:B$200,2,FALSE),"")</f>
        <v/>
      </c>
      <c r="G171" s="9">
        <f>IFERROR(VLOOKUP(C171,BD!$A$2:$C$12,2,FALSE),"")</f>
        <v/>
      </c>
      <c r="H171" s="10">
        <f>IFERROR(VLOOKUP(C171,BD!$A$2:$C$12,3,FALSE),"")</f>
        <v/>
      </c>
      <c r="I171" s="13">
        <f>IFERROR((G171*H171)/48,"")</f>
        <v/>
      </c>
      <c r="J171" s="14">
        <f>IFERROR(D171*E171*F171*I171,"")</f>
        <v/>
      </c>
    </row>
    <row r="172">
      <c r="B172" s="6">
        <f>IFERROR(VLOOKUP(A172,WBS!A$4:B$200,2,FALSE),"")</f>
        <v/>
      </c>
      <c r="G172" s="9">
        <f>IFERROR(VLOOKUP(C172,BD!$A$2:$C$12,2,FALSE),"")</f>
        <v/>
      </c>
      <c r="H172" s="10">
        <f>IFERROR(VLOOKUP(C172,BD!$A$2:$C$12,3,FALSE),"")</f>
        <v/>
      </c>
      <c r="I172" s="13">
        <f>IFERROR((G172*H172)/48,"")</f>
        <v/>
      </c>
      <c r="J172" s="14">
        <f>IFERROR(D172*E172*F172*I172,"")</f>
        <v/>
      </c>
    </row>
    <row r="173">
      <c r="B173" s="6">
        <f>IFERROR(VLOOKUP(A173,WBS!A$4:B$200,2,FALSE),"")</f>
        <v/>
      </c>
      <c r="G173" s="9">
        <f>IFERROR(VLOOKUP(C173,BD!$A$2:$C$12,2,FALSE),"")</f>
        <v/>
      </c>
      <c r="H173" s="10">
        <f>IFERROR(VLOOKUP(C173,BD!$A$2:$C$12,3,FALSE),"")</f>
        <v/>
      </c>
      <c r="I173" s="13">
        <f>IFERROR((G173*H173)/48,"")</f>
        <v/>
      </c>
      <c r="J173" s="14">
        <f>IFERROR(D173*E173*F173*I173,"")</f>
        <v/>
      </c>
    </row>
    <row r="174">
      <c r="B174" s="6">
        <f>IFERROR(VLOOKUP(A174,WBS!A$4:B$200,2,FALSE),"")</f>
        <v/>
      </c>
      <c r="G174" s="9">
        <f>IFERROR(VLOOKUP(C174,BD!$A$2:$C$12,2,FALSE),"")</f>
        <v/>
      </c>
      <c r="H174" s="10">
        <f>IFERROR(VLOOKUP(C174,BD!$A$2:$C$12,3,FALSE),"")</f>
        <v/>
      </c>
      <c r="I174" s="13">
        <f>IFERROR((G174*H174)/48,"")</f>
        <v/>
      </c>
      <c r="J174" s="14">
        <f>IFERROR(D174*E174*F174*I174,"")</f>
        <v/>
      </c>
    </row>
    <row r="175">
      <c r="B175" s="6">
        <f>IFERROR(VLOOKUP(A175,WBS!A$4:B$200,2,FALSE),"")</f>
        <v/>
      </c>
      <c r="G175" s="9">
        <f>IFERROR(VLOOKUP(C175,BD!$A$2:$C$12,2,FALSE),"")</f>
        <v/>
      </c>
      <c r="H175" s="10">
        <f>IFERROR(VLOOKUP(C175,BD!$A$2:$C$12,3,FALSE),"")</f>
        <v/>
      </c>
      <c r="I175" s="13">
        <f>IFERROR((G175*H175)/48,"")</f>
        <v/>
      </c>
      <c r="J175" s="14">
        <f>IFERROR(D175*E175*F175*I175,"")</f>
        <v/>
      </c>
    </row>
    <row r="176">
      <c r="B176" s="6">
        <f>IFERROR(VLOOKUP(A176,WBS!A$4:B$200,2,FALSE),"")</f>
        <v/>
      </c>
      <c r="G176" s="9">
        <f>IFERROR(VLOOKUP(C176,BD!$A$2:$C$12,2,FALSE),"")</f>
        <v/>
      </c>
      <c r="H176" s="10">
        <f>IFERROR(VLOOKUP(C176,BD!$A$2:$C$12,3,FALSE),"")</f>
        <v/>
      </c>
      <c r="I176" s="13">
        <f>IFERROR((G176*H176)/48,"")</f>
        <v/>
      </c>
      <c r="J176" s="14">
        <f>IFERROR(D176*E176*F176*I176,"")</f>
        <v/>
      </c>
    </row>
    <row r="177">
      <c r="B177" s="6">
        <f>IFERROR(VLOOKUP(A177,WBS!A$4:B$200,2,FALSE),"")</f>
        <v/>
      </c>
      <c r="G177" s="9">
        <f>IFERROR(VLOOKUP(C177,BD!$A$2:$C$12,2,FALSE),"")</f>
        <v/>
      </c>
      <c r="H177" s="10">
        <f>IFERROR(VLOOKUP(C177,BD!$A$2:$C$12,3,FALSE),"")</f>
        <v/>
      </c>
      <c r="I177" s="13">
        <f>IFERROR((G177*H177)/48,"")</f>
        <v/>
      </c>
      <c r="J177" s="14">
        <f>IFERROR(D177*E177*F177*I177,"")</f>
        <v/>
      </c>
    </row>
    <row r="178">
      <c r="B178" s="6">
        <f>IFERROR(VLOOKUP(A178,WBS!A$4:B$200,2,FALSE),"")</f>
        <v/>
      </c>
      <c r="G178" s="9">
        <f>IFERROR(VLOOKUP(C178,BD!$A$2:$C$12,2,FALSE),"")</f>
        <v/>
      </c>
      <c r="H178" s="10">
        <f>IFERROR(VLOOKUP(C178,BD!$A$2:$C$12,3,FALSE),"")</f>
        <v/>
      </c>
      <c r="I178" s="13">
        <f>IFERROR((G178*H178)/48,"")</f>
        <v/>
      </c>
      <c r="J178" s="14">
        <f>IFERROR(D178*E178*F178*I178,"")</f>
        <v/>
      </c>
    </row>
    <row r="179">
      <c r="B179" s="6">
        <f>IFERROR(VLOOKUP(A179,WBS!A$4:B$200,2,FALSE),"")</f>
        <v/>
      </c>
      <c r="G179" s="9">
        <f>IFERROR(VLOOKUP(C179,BD!$A$2:$C$12,2,FALSE),"")</f>
        <v/>
      </c>
      <c r="H179" s="10">
        <f>IFERROR(VLOOKUP(C179,BD!$A$2:$C$12,3,FALSE),"")</f>
        <v/>
      </c>
      <c r="I179" s="13">
        <f>IFERROR((G179*H179)/48,"")</f>
        <v/>
      </c>
      <c r="J179" s="14">
        <f>IFERROR(D179*E179*F179*I179,"")</f>
        <v/>
      </c>
    </row>
    <row r="180">
      <c r="B180" s="6">
        <f>IFERROR(VLOOKUP(A180,WBS!A$4:B$200,2,FALSE),"")</f>
        <v/>
      </c>
      <c r="G180" s="9">
        <f>IFERROR(VLOOKUP(C180,BD!$A$2:$C$12,2,FALSE),"")</f>
        <v/>
      </c>
      <c r="H180" s="10">
        <f>IFERROR(VLOOKUP(C180,BD!$A$2:$C$12,3,FALSE),"")</f>
        <v/>
      </c>
      <c r="I180" s="13">
        <f>IFERROR((G180*H180)/48,"")</f>
        <v/>
      </c>
      <c r="J180" s="14">
        <f>IFERROR(D180*E180*F180*I180,"")</f>
        <v/>
      </c>
    </row>
    <row r="181">
      <c r="B181" s="6">
        <f>IFERROR(VLOOKUP(A181,WBS!A$4:B$200,2,FALSE),"")</f>
        <v/>
      </c>
      <c r="G181" s="9">
        <f>IFERROR(VLOOKUP(C181,BD!$A$2:$C$12,2,FALSE),"")</f>
        <v/>
      </c>
      <c r="H181" s="10">
        <f>IFERROR(VLOOKUP(C181,BD!$A$2:$C$12,3,FALSE),"")</f>
        <v/>
      </c>
      <c r="I181" s="13">
        <f>IFERROR((G181*H181)/48,"")</f>
        <v/>
      </c>
      <c r="J181" s="14">
        <f>IFERROR(D181*E181*F181*I181,"")</f>
        <v/>
      </c>
    </row>
    <row r="182">
      <c r="B182" s="6">
        <f>IFERROR(VLOOKUP(A182,WBS!A$4:B$200,2,FALSE),"")</f>
        <v/>
      </c>
      <c r="G182" s="9">
        <f>IFERROR(VLOOKUP(C182,BD!$A$2:$C$12,2,FALSE),"")</f>
        <v/>
      </c>
      <c r="H182" s="10">
        <f>IFERROR(VLOOKUP(C182,BD!$A$2:$C$12,3,FALSE),"")</f>
        <v/>
      </c>
      <c r="I182" s="13">
        <f>IFERROR((G182*H182)/48,"")</f>
        <v/>
      </c>
      <c r="J182" s="14">
        <f>IFERROR(D182*E182*F182*I182,"")</f>
        <v/>
      </c>
    </row>
    <row r="183">
      <c r="B183" s="6">
        <f>IFERROR(VLOOKUP(A183,WBS!A$4:B$200,2,FALSE),"")</f>
        <v/>
      </c>
      <c r="G183" s="9">
        <f>IFERROR(VLOOKUP(C183,BD!$A$2:$C$12,2,FALSE),"")</f>
        <v/>
      </c>
      <c r="H183" s="10">
        <f>IFERROR(VLOOKUP(C183,BD!$A$2:$C$12,3,FALSE),"")</f>
        <v/>
      </c>
      <c r="I183" s="13">
        <f>IFERROR((G183*H183)/48,"")</f>
        <v/>
      </c>
      <c r="J183" s="14">
        <f>IFERROR(D183*E183*F183*I183,"")</f>
        <v/>
      </c>
    </row>
    <row r="184">
      <c r="B184" s="6">
        <f>IFERROR(VLOOKUP(A184,WBS!A$4:B$200,2,FALSE),"")</f>
        <v/>
      </c>
      <c r="G184" s="9">
        <f>IFERROR(VLOOKUP(C184,BD!$A$2:$C$12,2,FALSE),"")</f>
        <v/>
      </c>
      <c r="H184" s="10">
        <f>IFERROR(VLOOKUP(C184,BD!$A$2:$C$12,3,FALSE),"")</f>
        <v/>
      </c>
      <c r="I184" s="13">
        <f>IFERROR((G184*H184)/48,"")</f>
        <v/>
      </c>
      <c r="J184" s="14">
        <f>IFERROR(D184*E184*F184*I184,"")</f>
        <v/>
      </c>
    </row>
    <row r="185">
      <c r="B185" s="6">
        <f>IFERROR(VLOOKUP(A185,WBS!A$4:B$200,2,FALSE),"")</f>
        <v/>
      </c>
      <c r="G185" s="9">
        <f>IFERROR(VLOOKUP(C185,BD!$A$2:$C$12,2,FALSE),"")</f>
        <v/>
      </c>
      <c r="H185" s="10">
        <f>IFERROR(VLOOKUP(C185,BD!$A$2:$C$12,3,FALSE),"")</f>
        <v/>
      </c>
      <c r="I185" s="13">
        <f>IFERROR((G185*H185)/48,"")</f>
        <v/>
      </c>
      <c r="J185" s="14">
        <f>IFERROR(D185*E185*F185*I185,"")</f>
        <v/>
      </c>
    </row>
    <row r="186">
      <c r="B186" s="6">
        <f>IFERROR(VLOOKUP(A186,WBS!A$4:B$200,2,FALSE),"")</f>
        <v/>
      </c>
      <c r="G186" s="9">
        <f>IFERROR(VLOOKUP(C186,BD!$A$2:$C$12,2,FALSE),"")</f>
        <v/>
      </c>
      <c r="H186" s="10">
        <f>IFERROR(VLOOKUP(C186,BD!$A$2:$C$12,3,FALSE),"")</f>
        <v/>
      </c>
      <c r="I186" s="13">
        <f>IFERROR((G186*H186)/48,"")</f>
        <v/>
      </c>
      <c r="J186" s="14">
        <f>IFERROR(D186*E186*F186*I186,"")</f>
        <v/>
      </c>
    </row>
    <row r="187">
      <c r="B187" s="6">
        <f>IFERROR(VLOOKUP(A187,WBS!A$4:B$200,2,FALSE),"")</f>
        <v/>
      </c>
      <c r="G187" s="9">
        <f>IFERROR(VLOOKUP(C187,BD!$A$2:$C$12,2,FALSE),"")</f>
        <v/>
      </c>
      <c r="H187" s="10">
        <f>IFERROR(VLOOKUP(C187,BD!$A$2:$C$12,3,FALSE),"")</f>
        <v/>
      </c>
      <c r="I187" s="13">
        <f>IFERROR((G187*H187)/48,"")</f>
        <v/>
      </c>
      <c r="J187" s="14">
        <f>IFERROR(D187*E187*F187*I187,"")</f>
        <v/>
      </c>
    </row>
    <row r="188">
      <c r="B188" s="6">
        <f>IFERROR(VLOOKUP(A188,WBS!A$4:B$200,2,FALSE),"")</f>
        <v/>
      </c>
      <c r="G188" s="9">
        <f>IFERROR(VLOOKUP(C188,BD!$A$2:$C$12,2,FALSE),"")</f>
        <v/>
      </c>
      <c r="H188" s="10">
        <f>IFERROR(VLOOKUP(C188,BD!$A$2:$C$12,3,FALSE),"")</f>
        <v/>
      </c>
      <c r="I188" s="13">
        <f>IFERROR((G188*H188)/48,"")</f>
        <v/>
      </c>
      <c r="J188" s="14">
        <f>IFERROR(D188*E188*F188*I188,"")</f>
        <v/>
      </c>
    </row>
    <row r="189">
      <c r="B189" s="6">
        <f>IFERROR(VLOOKUP(A189,WBS!A$4:B$200,2,FALSE),"")</f>
        <v/>
      </c>
      <c r="G189" s="9">
        <f>IFERROR(VLOOKUP(C189,BD!$A$2:$C$12,2,FALSE),"")</f>
        <v/>
      </c>
      <c r="H189" s="10">
        <f>IFERROR(VLOOKUP(C189,BD!$A$2:$C$12,3,FALSE),"")</f>
        <v/>
      </c>
      <c r="I189" s="13">
        <f>IFERROR((G189*H189)/48,"")</f>
        <v/>
      </c>
      <c r="J189" s="14">
        <f>IFERROR(D189*E189*F189*I189,"")</f>
        <v/>
      </c>
    </row>
    <row r="190">
      <c r="B190" s="6">
        <f>IFERROR(VLOOKUP(A190,WBS!A$4:B$200,2,FALSE),"")</f>
        <v/>
      </c>
      <c r="G190" s="9">
        <f>IFERROR(VLOOKUP(C190,BD!$A$2:$C$12,2,FALSE),"")</f>
        <v/>
      </c>
      <c r="H190" s="10">
        <f>IFERROR(VLOOKUP(C190,BD!$A$2:$C$12,3,FALSE),"")</f>
        <v/>
      </c>
      <c r="I190" s="13">
        <f>IFERROR((G190*H190)/48,"")</f>
        <v/>
      </c>
      <c r="J190" s="14">
        <f>IFERROR(D190*E190*F190*I190,"")</f>
        <v/>
      </c>
    </row>
    <row r="191">
      <c r="B191" s="6">
        <f>IFERROR(VLOOKUP(A191,WBS!A$4:B$200,2,FALSE),"")</f>
        <v/>
      </c>
      <c r="G191" s="9">
        <f>IFERROR(VLOOKUP(C191,BD!$A$2:$C$12,2,FALSE),"")</f>
        <v/>
      </c>
      <c r="H191" s="10">
        <f>IFERROR(VLOOKUP(C191,BD!$A$2:$C$12,3,FALSE),"")</f>
        <v/>
      </c>
      <c r="I191" s="13">
        <f>IFERROR((G191*H191)/48,"")</f>
        <v/>
      </c>
      <c r="J191" s="14">
        <f>IFERROR(D191*E191*F191*I191,"")</f>
        <v/>
      </c>
    </row>
    <row r="192">
      <c r="B192" s="6">
        <f>IFERROR(VLOOKUP(A192,WBS!A$4:B$200,2,FALSE),"")</f>
        <v/>
      </c>
      <c r="G192" s="9">
        <f>IFERROR(VLOOKUP(C192,BD!$A$2:$C$12,2,FALSE),"")</f>
        <v/>
      </c>
      <c r="H192" s="10">
        <f>IFERROR(VLOOKUP(C192,BD!$A$2:$C$12,3,FALSE),"")</f>
        <v/>
      </c>
      <c r="I192" s="13">
        <f>IFERROR((G192*H192)/48,"")</f>
        <v/>
      </c>
      <c r="J192" s="14">
        <f>IFERROR(D192*E192*F192*I192,"")</f>
        <v/>
      </c>
    </row>
    <row r="193">
      <c r="B193" s="6">
        <f>IFERROR(VLOOKUP(A193,WBS!A$4:B$200,2,FALSE),"")</f>
        <v/>
      </c>
      <c r="G193" s="9">
        <f>IFERROR(VLOOKUP(C193,BD!$A$2:$C$12,2,FALSE),"")</f>
        <v/>
      </c>
      <c r="H193" s="10">
        <f>IFERROR(VLOOKUP(C193,BD!$A$2:$C$12,3,FALSE),"")</f>
        <v/>
      </c>
      <c r="I193" s="13">
        <f>IFERROR((G193*H193)/48,"")</f>
        <v/>
      </c>
      <c r="J193" s="14">
        <f>IFERROR(D193*E193*F193*I193,"")</f>
        <v/>
      </c>
    </row>
    <row r="194">
      <c r="B194" s="6">
        <f>IFERROR(VLOOKUP(A194,WBS!A$4:B$200,2,FALSE),"")</f>
        <v/>
      </c>
      <c r="G194" s="9">
        <f>IFERROR(VLOOKUP(C194,BD!$A$2:$C$12,2,FALSE),"")</f>
        <v/>
      </c>
      <c r="H194" s="10">
        <f>IFERROR(VLOOKUP(C194,BD!$A$2:$C$12,3,FALSE),"")</f>
        <v/>
      </c>
      <c r="I194" s="13">
        <f>IFERROR((G194*H194)/48,"")</f>
        <v/>
      </c>
      <c r="J194" s="14">
        <f>IFERROR(D194*E194*F194*I194,"")</f>
        <v/>
      </c>
    </row>
    <row r="195">
      <c r="B195" s="6">
        <f>IFERROR(VLOOKUP(A195,WBS!A$4:B$200,2,FALSE),"")</f>
        <v/>
      </c>
      <c r="G195" s="9">
        <f>IFERROR(VLOOKUP(C195,BD!$A$2:$C$12,2,FALSE),"")</f>
        <v/>
      </c>
      <c r="H195" s="10">
        <f>IFERROR(VLOOKUP(C195,BD!$A$2:$C$12,3,FALSE),"")</f>
        <v/>
      </c>
      <c r="I195" s="13">
        <f>IFERROR((G195*H195)/48,"")</f>
        <v/>
      </c>
      <c r="J195" s="14">
        <f>IFERROR(D195*E195*F195*I195,"")</f>
        <v/>
      </c>
    </row>
    <row r="196">
      <c r="B196" s="6">
        <f>IFERROR(VLOOKUP(A196,WBS!A$4:B$200,2,FALSE),"")</f>
        <v/>
      </c>
      <c r="G196" s="9">
        <f>IFERROR(VLOOKUP(C196,BD!$A$2:$C$12,2,FALSE),"")</f>
        <v/>
      </c>
      <c r="H196" s="10">
        <f>IFERROR(VLOOKUP(C196,BD!$A$2:$C$12,3,FALSE),"")</f>
        <v/>
      </c>
      <c r="I196" s="13">
        <f>IFERROR((G196*H196)/48,"")</f>
        <v/>
      </c>
      <c r="J196" s="14">
        <f>IFERROR(D196*E196*F196*I196,"")</f>
        <v/>
      </c>
    </row>
    <row r="197">
      <c r="B197" s="6">
        <f>IFERROR(VLOOKUP(A197,WBS!A$4:B$200,2,FALSE),"")</f>
        <v/>
      </c>
      <c r="G197" s="9">
        <f>IFERROR(VLOOKUP(C197,BD!$A$2:$C$12,2,FALSE),"")</f>
        <v/>
      </c>
      <c r="H197" s="10">
        <f>IFERROR(VLOOKUP(C197,BD!$A$2:$C$12,3,FALSE),"")</f>
        <v/>
      </c>
      <c r="I197" s="13">
        <f>IFERROR((G197*H197)/48,"")</f>
        <v/>
      </c>
      <c r="J197" s="14">
        <f>IFERROR(D197*E197*F197*I197,"")</f>
        <v/>
      </c>
    </row>
    <row r="198">
      <c r="B198" s="6">
        <f>IFERROR(VLOOKUP(A198,WBS!A$4:B$200,2,FALSE),"")</f>
        <v/>
      </c>
      <c r="G198" s="9">
        <f>IFERROR(VLOOKUP(C198,BD!$A$2:$C$12,2,FALSE),"")</f>
        <v/>
      </c>
      <c r="H198" s="10">
        <f>IFERROR(VLOOKUP(C198,BD!$A$2:$C$12,3,FALSE),"")</f>
        <v/>
      </c>
      <c r="I198" s="13">
        <f>IFERROR((G198*H198)/48,"")</f>
        <v/>
      </c>
      <c r="J198" s="14">
        <f>IFERROR(D198*E198*F198*I198,"")</f>
        <v/>
      </c>
    </row>
    <row r="199">
      <c r="B199" s="6">
        <f>IFERROR(VLOOKUP(A199,WBS!A$4:B$200,2,FALSE),"")</f>
        <v/>
      </c>
      <c r="G199" s="9">
        <f>IFERROR(VLOOKUP(C199,BD!$A$2:$C$12,2,FALSE),"")</f>
        <v/>
      </c>
      <c r="H199" s="10">
        <f>IFERROR(VLOOKUP(C199,BD!$A$2:$C$12,3,FALSE),"")</f>
        <v/>
      </c>
      <c r="I199" s="13">
        <f>IFERROR((G199*H199)/48,"")</f>
        <v/>
      </c>
      <c r="J199" s="14">
        <f>IFERROR(D199*E199*F199*I199,"")</f>
        <v/>
      </c>
    </row>
  </sheetData>
  <dataValidations count="1">
    <dataValidation sqref="C4:C200" showDropDown="0" showInputMessage="0" showErrorMessage="0" allowBlank="1" type="list">
      <formula1>BD!$A$2:$A$12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8" customWidth="1" min="5" max="5"/>
    <col width="24" customWidth="1" min="6" max="6"/>
  </cols>
  <sheetData>
    <row r="1">
      <c r="A1" s="1" t="inlineStr">
        <is>
          <t>PASO 3.3 — GASTOS GENERALES DE OBRA (GLOBALES — SE PRORRATEAN ENTRE PARTIDAS EN EL RESUMEN)</t>
        </is>
      </c>
    </row>
    <row r="2">
      <c r="A2" s="15" t="inlineStr">
        <is>
          <t>📌 No asignar a partida. El costo total se distribuirá automáticamente entre todas las partidas según su % de costo directo.</t>
        </is>
      </c>
    </row>
    <row r="3" ht="30" customHeight="1">
      <c r="A3" s="2" t="inlineStr">
        <is>
          <t>Concepto de Gasto (Seleccionar ▼)</t>
        </is>
      </c>
      <c r="B3" s="2" t="inlineStr">
        <is>
          <t>Cantidad</t>
        </is>
      </c>
      <c r="C3" s="2" t="inlineStr">
        <is>
          <t>Unidad</t>
        </is>
      </c>
      <c r="D3" s="2" t="inlineStr">
        <is>
          <t>Tiempo</t>
        </is>
      </c>
      <c r="E3" s="2" t="inlineStr">
        <is>
          <t>Costo Unitario</t>
        </is>
      </c>
      <c r="F3" s="2" t="inlineStr">
        <is>
          <t>IMPORTE TOTAL (MXN)</t>
        </is>
      </c>
    </row>
    <row r="4">
      <c r="A4" s="3" t="inlineStr">
        <is>
          <t>Pasajes y Fletes Especiales Obra</t>
        </is>
      </c>
      <c r="B4" t="n">
        <v>1</v>
      </c>
      <c r="C4" t="inlineStr">
        <is>
          <t>VJE</t>
        </is>
      </c>
      <c r="D4" t="n">
        <v>5</v>
      </c>
      <c r="E4" s="7" t="n">
        <v>1200</v>
      </c>
      <c r="F4" s="12">
        <f>B4*D4*E4</f>
        <v/>
      </c>
    </row>
    <row r="5">
      <c r="A5" s="3" t="inlineStr">
        <is>
          <t>Combustibles de Camionetas y Maquinaria</t>
        </is>
      </c>
      <c r="B5" t="n">
        <v>1</v>
      </c>
      <c r="C5" t="inlineStr">
        <is>
          <t>VJE</t>
        </is>
      </c>
      <c r="D5" t="n">
        <v>1</v>
      </c>
      <c r="E5" s="7" t="n">
        <v>1500</v>
      </c>
      <c r="F5" s="12">
        <f>B5*D5*E5</f>
        <v/>
      </c>
    </row>
    <row r="6">
      <c r="F6" s="14">
        <f>IFERROR(B6*D6*E6,"")</f>
        <v/>
      </c>
    </row>
    <row r="7">
      <c r="F7" s="14">
        <f>IFERROR(B7*D7*E7,"")</f>
        <v/>
      </c>
    </row>
    <row r="8">
      <c r="F8" s="14">
        <f>IFERROR(B8*D8*E8,"")</f>
        <v/>
      </c>
    </row>
    <row r="9">
      <c r="F9" s="14">
        <f>IFERROR(B9*D9*E9,"")</f>
        <v/>
      </c>
    </row>
    <row r="10">
      <c r="F10" s="14">
        <f>IFERROR(B10*D10*E10,"")</f>
        <v/>
      </c>
    </row>
    <row r="11">
      <c r="F11" s="14">
        <f>IFERROR(B11*D11*E11,"")</f>
        <v/>
      </c>
    </row>
    <row r="12">
      <c r="F12" s="14">
        <f>IFERROR(B12*D12*E12,"")</f>
        <v/>
      </c>
    </row>
    <row r="13">
      <c r="F13" s="14">
        <f>IFERROR(B13*D13*E13,"")</f>
        <v/>
      </c>
    </row>
    <row r="14">
      <c r="F14" s="14">
        <f>IFERROR(B14*D14*E14,"")</f>
        <v/>
      </c>
    </row>
    <row r="15">
      <c r="F15" s="14">
        <f>IFERROR(B15*D15*E15,"")</f>
        <v/>
      </c>
    </row>
    <row r="16">
      <c r="F16" s="14">
        <f>IFERROR(B16*D16*E16,"")</f>
        <v/>
      </c>
    </row>
    <row r="17">
      <c r="F17" s="14">
        <f>IFERROR(B17*D17*E17,"")</f>
        <v/>
      </c>
    </row>
    <row r="18">
      <c r="F18" s="14">
        <f>IFERROR(B18*D18*E18,"")</f>
        <v/>
      </c>
    </row>
    <row r="19">
      <c r="F19" s="14">
        <f>IFERROR(B19*D19*E19,"")</f>
        <v/>
      </c>
    </row>
    <row r="20">
      <c r="F20" s="14">
        <f>IFERROR(B20*D20*E20,"")</f>
        <v/>
      </c>
    </row>
    <row r="21">
      <c r="F21" s="14">
        <f>IFERROR(B21*D21*E21,"")</f>
        <v/>
      </c>
    </row>
    <row r="22">
      <c r="F22" s="14">
        <f>IFERROR(B22*D22*E22,"")</f>
        <v/>
      </c>
    </row>
    <row r="23">
      <c r="F23" s="14">
        <f>IFERROR(B23*D23*E23,"")</f>
        <v/>
      </c>
    </row>
    <row r="24">
      <c r="F24" s="14">
        <f>IFERROR(B24*D24*E24,"")</f>
        <v/>
      </c>
    </row>
    <row r="25">
      <c r="F25" s="14">
        <f>IFERROR(B25*D25*E25,"")</f>
        <v/>
      </c>
    </row>
    <row r="26">
      <c r="F26" s="14">
        <f>IFERROR(B26*D26*E26,"")</f>
        <v/>
      </c>
    </row>
    <row r="27">
      <c r="F27" s="14">
        <f>IFERROR(B27*D27*E27,"")</f>
        <v/>
      </c>
    </row>
    <row r="28">
      <c r="F28" s="14">
        <f>IFERROR(B28*D28*E28,"")</f>
        <v/>
      </c>
    </row>
    <row r="29">
      <c r="F29" s="14">
        <f>IFERROR(B29*D29*E29,"")</f>
        <v/>
      </c>
    </row>
    <row r="30">
      <c r="F30" s="14">
        <f>IFERROR(B30*D30*E30,"")</f>
        <v/>
      </c>
    </row>
    <row r="31">
      <c r="F31" s="14">
        <f>IFERROR(B31*D31*E31,"")</f>
        <v/>
      </c>
    </row>
    <row r="32">
      <c r="F32" s="14">
        <f>IFERROR(B32*D32*E32,"")</f>
        <v/>
      </c>
    </row>
    <row r="33">
      <c r="F33" s="14">
        <f>IFERROR(B33*D33*E33,"")</f>
        <v/>
      </c>
    </row>
    <row r="34">
      <c r="F34" s="14">
        <f>IFERROR(B34*D34*E34,"")</f>
        <v/>
      </c>
    </row>
    <row r="35">
      <c r="F35" s="14">
        <f>IFERROR(B35*D35*E35,"")</f>
        <v/>
      </c>
    </row>
    <row r="36">
      <c r="F36" s="14">
        <f>IFERROR(B36*D36*E36,"")</f>
        <v/>
      </c>
    </row>
    <row r="37">
      <c r="F37" s="14">
        <f>IFERROR(B37*D37*E37,"")</f>
        <v/>
      </c>
    </row>
    <row r="38">
      <c r="F38" s="14">
        <f>IFERROR(B38*D38*E38,"")</f>
        <v/>
      </c>
    </row>
    <row r="39">
      <c r="F39" s="14">
        <f>IFERROR(B39*D39*E39,"")</f>
        <v/>
      </c>
    </row>
    <row r="40">
      <c r="F40" s="14">
        <f>IFERROR(B40*D40*E40,"")</f>
        <v/>
      </c>
    </row>
    <row r="41">
      <c r="F41" s="14">
        <f>IFERROR(B41*D41*E41,"")</f>
        <v/>
      </c>
    </row>
    <row r="42">
      <c r="F42" s="14">
        <f>IFERROR(B42*D42*E42,"")</f>
        <v/>
      </c>
    </row>
    <row r="43">
      <c r="F43" s="14">
        <f>IFERROR(B43*D43*E43,"")</f>
        <v/>
      </c>
    </row>
    <row r="44">
      <c r="F44" s="14">
        <f>IFERROR(B44*D44*E44,"")</f>
        <v/>
      </c>
    </row>
    <row r="45">
      <c r="F45" s="14">
        <f>IFERROR(B45*D45*E45,"")</f>
        <v/>
      </c>
    </row>
    <row r="46">
      <c r="F46" s="14">
        <f>IFERROR(B46*D46*E46,"")</f>
        <v/>
      </c>
    </row>
    <row r="47">
      <c r="F47" s="14">
        <f>IFERROR(B47*D47*E47,"")</f>
        <v/>
      </c>
    </row>
    <row r="48">
      <c r="F48" s="14">
        <f>IFERROR(B48*D48*E48,"")</f>
        <v/>
      </c>
    </row>
    <row r="49">
      <c r="F49" s="14">
        <f>IFERROR(B49*D49*E49,"")</f>
        <v/>
      </c>
    </row>
    <row r="50">
      <c r="F50" s="14">
        <f>IFERROR(B50*D50*E50,"")</f>
        <v/>
      </c>
    </row>
    <row r="51">
      <c r="F51" s="14">
        <f>IFERROR(B51*D51*E51,"")</f>
        <v/>
      </c>
    </row>
    <row r="52">
      <c r="F52" s="14">
        <f>IFERROR(B52*D52*E52,"")</f>
        <v/>
      </c>
    </row>
    <row r="53">
      <c r="F53" s="14">
        <f>IFERROR(B53*D53*E53,"")</f>
        <v/>
      </c>
    </row>
    <row r="54">
      <c r="F54" s="14">
        <f>IFERROR(B54*D54*E54,"")</f>
        <v/>
      </c>
    </row>
    <row r="55">
      <c r="F55" s="14">
        <f>IFERROR(B55*D55*E55,"")</f>
        <v/>
      </c>
    </row>
    <row r="56">
      <c r="F56" s="14">
        <f>IFERROR(B56*D56*E56,"")</f>
        <v/>
      </c>
    </row>
    <row r="57">
      <c r="F57" s="14">
        <f>IFERROR(B57*D57*E57,"")</f>
        <v/>
      </c>
    </row>
    <row r="58">
      <c r="F58" s="14">
        <f>IFERROR(B58*D58*E58,"")</f>
        <v/>
      </c>
    </row>
    <row r="59">
      <c r="F59" s="14">
        <f>IFERROR(B59*D59*E59,"")</f>
        <v/>
      </c>
    </row>
    <row r="60">
      <c r="F60" s="14">
        <f>IFERROR(B60*D60*E60,"")</f>
        <v/>
      </c>
    </row>
    <row r="61">
      <c r="F61" s="14">
        <f>IFERROR(B61*D61*E61,"")</f>
        <v/>
      </c>
    </row>
    <row r="62">
      <c r="F62" s="14">
        <f>IFERROR(B62*D62*E62,"")</f>
        <v/>
      </c>
    </row>
    <row r="63">
      <c r="F63" s="14">
        <f>IFERROR(B63*D63*E63,"")</f>
        <v/>
      </c>
    </row>
    <row r="64">
      <c r="F64" s="14">
        <f>IFERROR(B64*D64*E64,"")</f>
        <v/>
      </c>
    </row>
    <row r="65">
      <c r="F65" s="14">
        <f>IFERROR(B65*D65*E65,"")</f>
        <v/>
      </c>
    </row>
    <row r="66">
      <c r="F66" s="14">
        <f>IFERROR(B66*D66*E66,"")</f>
        <v/>
      </c>
    </row>
    <row r="67">
      <c r="F67" s="14">
        <f>IFERROR(B67*D67*E67,"")</f>
        <v/>
      </c>
    </row>
    <row r="68">
      <c r="F68" s="14">
        <f>IFERROR(B68*D68*E68,"")</f>
        <v/>
      </c>
    </row>
    <row r="69">
      <c r="F69" s="14">
        <f>IFERROR(B69*D69*E69,"")</f>
        <v/>
      </c>
    </row>
    <row r="70">
      <c r="F70" s="14">
        <f>IFERROR(B70*D70*E70,"")</f>
        <v/>
      </c>
    </row>
    <row r="71">
      <c r="F71" s="14">
        <f>IFERROR(B71*D71*E71,"")</f>
        <v/>
      </c>
    </row>
    <row r="72">
      <c r="F72" s="14">
        <f>IFERROR(B72*D72*E72,"")</f>
        <v/>
      </c>
    </row>
    <row r="73">
      <c r="F73" s="14">
        <f>IFERROR(B73*D73*E73,"")</f>
        <v/>
      </c>
    </row>
    <row r="74">
      <c r="F74" s="14">
        <f>IFERROR(B74*D74*E74,"")</f>
        <v/>
      </c>
    </row>
    <row r="75">
      <c r="F75" s="14">
        <f>IFERROR(B75*D75*E75,"")</f>
        <v/>
      </c>
    </row>
    <row r="76">
      <c r="F76" s="14">
        <f>IFERROR(B76*D76*E76,"")</f>
        <v/>
      </c>
    </row>
    <row r="77">
      <c r="F77" s="14">
        <f>IFERROR(B77*D77*E77,"")</f>
        <v/>
      </c>
    </row>
    <row r="78">
      <c r="F78" s="14">
        <f>IFERROR(B78*D78*E78,"")</f>
        <v/>
      </c>
    </row>
    <row r="79">
      <c r="F79" s="14">
        <f>IFERROR(B79*D79*E79,"")</f>
        <v/>
      </c>
    </row>
    <row r="80">
      <c r="F80" s="14">
        <f>IFERROR(B80*D80*E80,"")</f>
        <v/>
      </c>
    </row>
    <row r="81">
      <c r="F81" s="14">
        <f>IFERROR(B81*D81*E81,"")</f>
        <v/>
      </c>
    </row>
    <row r="82">
      <c r="F82" s="14">
        <f>IFERROR(B82*D82*E82,"")</f>
        <v/>
      </c>
    </row>
    <row r="83">
      <c r="F83" s="14">
        <f>IFERROR(B83*D83*E83,"")</f>
        <v/>
      </c>
    </row>
    <row r="84">
      <c r="F84" s="14">
        <f>IFERROR(B84*D84*E84,"")</f>
        <v/>
      </c>
    </row>
    <row r="85">
      <c r="F85" s="14">
        <f>IFERROR(B85*D85*E85,"")</f>
        <v/>
      </c>
    </row>
    <row r="86">
      <c r="F86" s="14">
        <f>IFERROR(B86*D86*E86,"")</f>
        <v/>
      </c>
    </row>
    <row r="87">
      <c r="F87" s="14">
        <f>IFERROR(B87*D87*E87,"")</f>
        <v/>
      </c>
    </row>
    <row r="88">
      <c r="F88" s="14">
        <f>IFERROR(B88*D88*E88,"")</f>
        <v/>
      </c>
    </row>
    <row r="89">
      <c r="F89" s="14">
        <f>IFERROR(B89*D89*E89,"")</f>
        <v/>
      </c>
    </row>
    <row r="90">
      <c r="F90" s="14">
        <f>IFERROR(B90*D90*E90,"")</f>
        <v/>
      </c>
    </row>
    <row r="91">
      <c r="F91" s="14">
        <f>IFERROR(B91*D91*E91,"")</f>
        <v/>
      </c>
    </row>
    <row r="92">
      <c r="F92" s="14">
        <f>IFERROR(B92*D92*E92,"")</f>
        <v/>
      </c>
    </row>
    <row r="93">
      <c r="F93" s="14">
        <f>IFERROR(B93*D93*E93,"")</f>
        <v/>
      </c>
    </row>
    <row r="94">
      <c r="F94" s="14">
        <f>IFERROR(B94*D94*E94,"")</f>
        <v/>
      </c>
    </row>
    <row r="95">
      <c r="F95" s="14">
        <f>IFERROR(B95*D95*E95,"")</f>
        <v/>
      </c>
    </row>
    <row r="96">
      <c r="F96" s="14">
        <f>IFERROR(B96*D96*E96,"")</f>
        <v/>
      </c>
    </row>
    <row r="97">
      <c r="F97" s="14">
        <f>IFERROR(B97*D97*E97,"")</f>
        <v/>
      </c>
    </row>
    <row r="98">
      <c r="F98" s="14">
        <f>IFERROR(B98*D98*E98,"")</f>
        <v/>
      </c>
    </row>
    <row r="99">
      <c r="F99" s="14">
        <f>IFERROR(B99*D99*E99,"")</f>
        <v/>
      </c>
    </row>
    <row r="100">
      <c r="F100" s="14">
        <f>IFERROR(B100*D100*E100,"")</f>
        <v/>
      </c>
    </row>
    <row r="101">
      <c r="F101" s="14">
        <f>IFERROR(B101*D101*E101,"")</f>
        <v/>
      </c>
    </row>
    <row r="102">
      <c r="F102" s="14">
        <f>IFERROR(B102*D102*E102,"")</f>
        <v/>
      </c>
    </row>
    <row r="103">
      <c r="F103" s="14">
        <f>IFERROR(B103*D103*E103,"")</f>
        <v/>
      </c>
    </row>
    <row r="104">
      <c r="F104" s="14">
        <f>IFERROR(B104*D104*E104,"")</f>
        <v/>
      </c>
    </row>
    <row r="105">
      <c r="F105" s="14">
        <f>IFERROR(B105*D105*E105,"")</f>
        <v/>
      </c>
    </row>
    <row r="106">
      <c r="F106" s="14">
        <f>IFERROR(B106*D106*E106,"")</f>
        <v/>
      </c>
    </row>
    <row r="107">
      <c r="F107" s="14">
        <f>IFERROR(B107*D107*E107,"")</f>
        <v/>
      </c>
    </row>
    <row r="108">
      <c r="F108" s="14">
        <f>IFERROR(B108*D108*E108,"")</f>
        <v/>
      </c>
    </row>
    <row r="109">
      <c r="F109" s="14">
        <f>IFERROR(B109*D109*E109,"")</f>
        <v/>
      </c>
    </row>
    <row r="110">
      <c r="F110" s="14">
        <f>IFERROR(B110*D110*E110,"")</f>
        <v/>
      </c>
    </row>
    <row r="111">
      <c r="F111" s="14">
        <f>IFERROR(B111*D111*E111,"")</f>
        <v/>
      </c>
    </row>
    <row r="112">
      <c r="F112" s="14">
        <f>IFERROR(B112*D112*E112,"")</f>
        <v/>
      </c>
    </row>
    <row r="113">
      <c r="F113" s="14">
        <f>IFERROR(B113*D113*E113,"")</f>
        <v/>
      </c>
    </row>
    <row r="114">
      <c r="F114" s="14">
        <f>IFERROR(B114*D114*E114,"")</f>
        <v/>
      </c>
    </row>
    <row r="115">
      <c r="F115" s="14">
        <f>IFERROR(B115*D115*E115,"")</f>
        <v/>
      </c>
    </row>
    <row r="116">
      <c r="F116" s="14">
        <f>IFERROR(B116*D116*E116,"")</f>
        <v/>
      </c>
    </row>
    <row r="117">
      <c r="F117" s="14">
        <f>IFERROR(B117*D117*E117,"")</f>
        <v/>
      </c>
    </row>
    <row r="118">
      <c r="F118" s="14">
        <f>IFERROR(B118*D118*E118,"")</f>
        <v/>
      </c>
    </row>
    <row r="119">
      <c r="F119" s="14">
        <f>IFERROR(B119*D119*E119,"")</f>
        <v/>
      </c>
    </row>
    <row r="120">
      <c r="F120" s="14">
        <f>IFERROR(B120*D120*E120,"")</f>
        <v/>
      </c>
    </row>
    <row r="121">
      <c r="F121" s="14">
        <f>IFERROR(B121*D121*E121,"")</f>
        <v/>
      </c>
    </row>
    <row r="122">
      <c r="F122" s="14">
        <f>IFERROR(B122*D122*E122,"")</f>
        <v/>
      </c>
    </row>
    <row r="123">
      <c r="F123" s="14">
        <f>IFERROR(B123*D123*E123,"")</f>
        <v/>
      </c>
    </row>
    <row r="124">
      <c r="F124" s="14">
        <f>IFERROR(B124*D124*E124,"")</f>
        <v/>
      </c>
    </row>
    <row r="125">
      <c r="F125" s="14">
        <f>IFERROR(B125*D125*E125,"")</f>
        <v/>
      </c>
    </row>
    <row r="126">
      <c r="F126" s="14">
        <f>IFERROR(B126*D126*E126,"")</f>
        <v/>
      </c>
    </row>
    <row r="127">
      <c r="F127" s="14">
        <f>IFERROR(B127*D127*E127,"")</f>
        <v/>
      </c>
    </row>
    <row r="128">
      <c r="F128" s="14">
        <f>IFERROR(B128*D128*E128,"")</f>
        <v/>
      </c>
    </row>
    <row r="129">
      <c r="F129" s="14">
        <f>IFERROR(B129*D129*E129,"")</f>
        <v/>
      </c>
    </row>
    <row r="130">
      <c r="F130" s="14">
        <f>IFERROR(B130*D130*E130,"")</f>
        <v/>
      </c>
    </row>
    <row r="131">
      <c r="F131" s="14">
        <f>IFERROR(B131*D131*E131,"")</f>
        <v/>
      </c>
    </row>
    <row r="132">
      <c r="F132" s="14">
        <f>IFERROR(B132*D132*E132,"")</f>
        <v/>
      </c>
    </row>
    <row r="133">
      <c r="F133" s="14">
        <f>IFERROR(B133*D133*E133,"")</f>
        <v/>
      </c>
    </row>
    <row r="134">
      <c r="F134" s="14">
        <f>IFERROR(B134*D134*E134,"")</f>
        <v/>
      </c>
    </row>
    <row r="135">
      <c r="F135" s="14">
        <f>IFERROR(B135*D135*E135,"")</f>
        <v/>
      </c>
    </row>
    <row r="136">
      <c r="F136" s="14">
        <f>IFERROR(B136*D136*E136,"")</f>
        <v/>
      </c>
    </row>
    <row r="137">
      <c r="F137" s="14">
        <f>IFERROR(B137*D137*E137,"")</f>
        <v/>
      </c>
    </row>
    <row r="138">
      <c r="F138" s="14">
        <f>IFERROR(B138*D138*E138,"")</f>
        <v/>
      </c>
    </row>
    <row r="139">
      <c r="F139" s="14">
        <f>IFERROR(B139*D139*E139,"")</f>
        <v/>
      </c>
    </row>
    <row r="140">
      <c r="F140" s="14">
        <f>IFERROR(B140*D140*E140,"")</f>
        <v/>
      </c>
    </row>
    <row r="141">
      <c r="F141" s="14">
        <f>IFERROR(B141*D141*E141,"")</f>
        <v/>
      </c>
    </row>
    <row r="142">
      <c r="F142" s="14">
        <f>IFERROR(B142*D142*E142,"")</f>
        <v/>
      </c>
    </row>
    <row r="143">
      <c r="F143" s="14">
        <f>IFERROR(B143*D143*E143,"")</f>
        <v/>
      </c>
    </row>
    <row r="144">
      <c r="F144" s="14">
        <f>IFERROR(B144*D144*E144,"")</f>
        <v/>
      </c>
    </row>
    <row r="145">
      <c r="F145" s="14">
        <f>IFERROR(B145*D145*E145,"")</f>
        <v/>
      </c>
    </row>
    <row r="146">
      <c r="F146" s="14">
        <f>IFERROR(B146*D146*E146,"")</f>
        <v/>
      </c>
    </row>
    <row r="147">
      <c r="F147" s="14">
        <f>IFERROR(B147*D147*E147,"")</f>
        <v/>
      </c>
    </row>
    <row r="148">
      <c r="F148" s="14">
        <f>IFERROR(B148*D148*E148,"")</f>
        <v/>
      </c>
    </row>
    <row r="149">
      <c r="F149" s="14">
        <f>IFERROR(B149*D149*E149,"")</f>
        <v/>
      </c>
    </row>
    <row r="150">
      <c r="F150" s="14">
        <f>IFERROR(B150*D150*E150,"")</f>
        <v/>
      </c>
    </row>
    <row r="151">
      <c r="F151" s="14">
        <f>IFERROR(B151*D151*E151,"")</f>
        <v/>
      </c>
    </row>
    <row r="152">
      <c r="F152" s="14">
        <f>IFERROR(B152*D152*E152,"")</f>
        <v/>
      </c>
    </row>
    <row r="153">
      <c r="F153" s="14">
        <f>IFERROR(B153*D153*E153,"")</f>
        <v/>
      </c>
    </row>
    <row r="154">
      <c r="F154" s="14">
        <f>IFERROR(B154*D154*E154,"")</f>
        <v/>
      </c>
    </row>
    <row r="155">
      <c r="F155" s="14">
        <f>IFERROR(B155*D155*E155,"")</f>
        <v/>
      </c>
    </row>
    <row r="156">
      <c r="F156" s="14">
        <f>IFERROR(B156*D156*E156,"")</f>
        <v/>
      </c>
    </row>
    <row r="157">
      <c r="F157" s="14">
        <f>IFERROR(B157*D157*E157,"")</f>
        <v/>
      </c>
    </row>
    <row r="158">
      <c r="F158" s="14">
        <f>IFERROR(B158*D158*E158,"")</f>
        <v/>
      </c>
    </row>
    <row r="159">
      <c r="F159" s="14">
        <f>IFERROR(B159*D159*E159,"")</f>
        <v/>
      </c>
    </row>
    <row r="160">
      <c r="F160" s="14">
        <f>IFERROR(B160*D160*E160,"")</f>
        <v/>
      </c>
    </row>
    <row r="161">
      <c r="F161" s="14">
        <f>IFERROR(B161*D161*E161,"")</f>
        <v/>
      </c>
    </row>
    <row r="162">
      <c r="F162" s="14">
        <f>IFERROR(B162*D162*E162,"")</f>
        <v/>
      </c>
    </row>
    <row r="163">
      <c r="F163" s="14">
        <f>IFERROR(B163*D163*E163,"")</f>
        <v/>
      </c>
    </row>
    <row r="164">
      <c r="F164" s="14">
        <f>IFERROR(B164*D164*E164,"")</f>
        <v/>
      </c>
    </row>
    <row r="165">
      <c r="F165" s="14">
        <f>IFERROR(B165*D165*E165,"")</f>
        <v/>
      </c>
    </row>
    <row r="166">
      <c r="F166" s="14">
        <f>IFERROR(B166*D166*E166,"")</f>
        <v/>
      </c>
    </row>
    <row r="167">
      <c r="F167" s="14">
        <f>IFERROR(B167*D167*E167,"")</f>
        <v/>
      </c>
    </row>
    <row r="168">
      <c r="F168" s="14">
        <f>IFERROR(B168*D168*E168,"")</f>
        <v/>
      </c>
    </row>
    <row r="169">
      <c r="F169" s="14">
        <f>IFERROR(B169*D169*E169,"")</f>
        <v/>
      </c>
    </row>
    <row r="170">
      <c r="F170" s="14">
        <f>IFERROR(B170*D170*E170,"")</f>
        <v/>
      </c>
    </row>
    <row r="171">
      <c r="F171" s="14">
        <f>IFERROR(B171*D171*E171,"")</f>
        <v/>
      </c>
    </row>
    <row r="172">
      <c r="F172" s="14">
        <f>IFERROR(B172*D172*E172,"")</f>
        <v/>
      </c>
    </row>
    <row r="173">
      <c r="F173" s="14">
        <f>IFERROR(B173*D173*E173,"")</f>
        <v/>
      </c>
    </row>
    <row r="174">
      <c r="F174" s="14">
        <f>IFERROR(B174*D174*E174,"")</f>
        <v/>
      </c>
    </row>
    <row r="175">
      <c r="F175" s="14">
        <f>IFERROR(B175*D175*E175,"")</f>
        <v/>
      </c>
    </row>
    <row r="176">
      <c r="F176" s="14">
        <f>IFERROR(B176*D176*E176,"")</f>
        <v/>
      </c>
    </row>
    <row r="177">
      <c r="F177" s="14">
        <f>IFERROR(B177*D177*E177,"")</f>
        <v/>
      </c>
    </row>
    <row r="178">
      <c r="F178" s="14">
        <f>IFERROR(B178*D178*E178,"")</f>
        <v/>
      </c>
    </row>
    <row r="179">
      <c r="F179" s="14">
        <f>IFERROR(B179*D179*E179,"")</f>
        <v/>
      </c>
    </row>
    <row r="180">
      <c r="F180" s="14">
        <f>IFERROR(B180*D180*E180,"")</f>
        <v/>
      </c>
    </row>
    <row r="181">
      <c r="F181" s="14">
        <f>IFERROR(B181*D181*E181,"")</f>
        <v/>
      </c>
    </row>
    <row r="182">
      <c r="F182" s="14">
        <f>IFERROR(B182*D182*E182,"")</f>
        <v/>
      </c>
    </row>
    <row r="183">
      <c r="F183" s="14">
        <f>IFERROR(B183*D183*E183,"")</f>
        <v/>
      </c>
    </row>
    <row r="184">
      <c r="F184" s="14">
        <f>IFERROR(B184*D184*E184,"")</f>
        <v/>
      </c>
    </row>
    <row r="185">
      <c r="F185" s="14">
        <f>IFERROR(B185*D185*E185,"")</f>
        <v/>
      </c>
    </row>
    <row r="186">
      <c r="F186" s="14">
        <f>IFERROR(B186*D186*E186,"")</f>
        <v/>
      </c>
    </row>
    <row r="187">
      <c r="F187" s="14">
        <f>IFERROR(B187*D187*E187,"")</f>
        <v/>
      </c>
    </row>
    <row r="188">
      <c r="F188" s="14">
        <f>IFERROR(B188*D188*E188,"")</f>
        <v/>
      </c>
    </row>
    <row r="189">
      <c r="F189" s="14">
        <f>IFERROR(B189*D189*E189,"")</f>
        <v/>
      </c>
    </row>
    <row r="190">
      <c r="F190" s="14">
        <f>IFERROR(B190*D190*E190,"")</f>
        <v/>
      </c>
    </row>
    <row r="191">
      <c r="F191" s="14">
        <f>IFERROR(B191*D191*E191,"")</f>
        <v/>
      </c>
    </row>
    <row r="192">
      <c r="F192" s="14">
        <f>IFERROR(B192*D192*E192,"")</f>
        <v/>
      </c>
    </row>
    <row r="193">
      <c r="F193" s="14">
        <f>IFERROR(B193*D193*E193,"")</f>
        <v/>
      </c>
    </row>
    <row r="194">
      <c r="F194" s="14">
        <f>IFERROR(B194*D194*E194,"")</f>
        <v/>
      </c>
    </row>
    <row r="195">
      <c r="F195" s="14">
        <f>IFERROR(B195*D195*E195,"")</f>
        <v/>
      </c>
    </row>
    <row r="196">
      <c r="F196" s="14">
        <f>IFERROR(B196*D196*E196,"")</f>
        <v/>
      </c>
    </row>
    <row r="197">
      <c r="F197" s="14">
        <f>IFERROR(B197*D197*E197,"")</f>
        <v/>
      </c>
    </row>
    <row r="198">
      <c r="F198" s="14">
        <f>IFERROR(B198*D198*E198,"")</f>
        <v/>
      </c>
    </row>
    <row r="199">
      <c r="F199" s="14">
        <f>IFERROR(B199*D199*E199,"")</f>
        <v/>
      </c>
    </row>
    <row r="200">
      <c r="A200" s="16" t="inlineStr">
        <is>
          <t>TOTAL GASTOS GENERALES DEL PROYECTO:</t>
        </is>
      </c>
      <c r="F200" s="17">
        <f>SUM(F4:F199)</f>
        <v/>
      </c>
    </row>
  </sheetData>
  <dataValidations count="1">
    <dataValidation sqref="A4:A200" showDropDown="0" showInputMessage="0" showErrorMessage="0" allowBlank="1" type="list">
      <formula1>BD!$D$2:$D$60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2" customWidth="1" min="3" max="3"/>
    <col width="16" customWidth="1" min="7" max="7"/>
    <col width="22" customWidth="1" min="9" max="9"/>
  </cols>
  <sheetData>
    <row r="1">
      <c r="A1" s="1" t="inlineStr">
        <is>
          <t>PASO 3.4 — DETALLE DE SUBCONTRATOS POR PARTIDA</t>
        </is>
      </c>
    </row>
    <row r="3" ht="30" customHeight="1">
      <c r="A3" s="2" t="inlineStr">
        <is>
          <t>Partida N°</t>
        </is>
      </c>
      <c r="B3" s="2" t="inlineStr">
        <is>
          <t>Partida WBS (Auto)</t>
        </is>
      </c>
      <c r="C3" s="2" t="inlineStr">
        <is>
          <t>Concepto Subcontrato (Seleccionar ▼)</t>
        </is>
      </c>
      <c r="D3" s="2" t="inlineStr">
        <is>
          <t>Proveedor Habitual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Precio Unitario</t>
        </is>
      </c>
      <c r="H3" s="2" t="inlineStr">
        <is>
          <t>Moneda</t>
        </is>
      </c>
      <c r="I3" s="2" t="inlineStr">
        <is>
          <t>Importe Total MXN</t>
        </is>
      </c>
    </row>
    <row r="4">
      <c r="A4" s="5" t="n">
        <v>1</v>
      </c>
      <c r="B4" s="6">
        <f>IFERROR(VLOOKUP(A4,WBS!A$4:B$200,2,FALSE),"")</f>
        <v/>
      </c>
      <c r="C4" s="3" t="inlineStr">
        <is>
          <t>Arrendamiento de Grúa Telescópica</t>
        </is>
      </c>
      <c r="D4" t="inlineStr">
        <is>
          <t>Alquiler Grúas</t>
        </is>
      </c>
      <c r="E4" t="n">
        <v>1</v>
      </c>
      <c r="F4" t="inlineStr">
        <is>
          <t>SERV</t>
        </is>
      </c>
      <c r="G4" s="7" t="n">
        <v>8500</v>
      </c>
      <c r="H4" s="5" t="inlineStr">
        <is>
          <t>MXN</t>
        </is>
      </c>
      <c r="I4" s="12">
        <f>IF(H4="USD",E4*G4*PROY!$B$7,E4*G4)</f>
        <v/>
      </c>
    </row>
    <row r="5">
      <c r="B5" s="6">
        <f>IFERROR(VLOOKUP(A5,WBS!A$4:B$200,2,FALSE),"")</f>
        <v/>
      </c>
      <c r="I5" s="14">
        <f>IFERROR(IF(H5="USD",E5*G5*PROY!$B$7,E5*G5),"")</f>
        <v/>
      </c>
    </row>
    <row r="6">
      <c r="B6" s="6">
        <f>IFERROR(VLOOKUP(A6,WBS!A$4:B$200,2,FALSE),"")</f>
        <v/>
      </c>
      <c r="I6" s="14">
        <f>IFERROR(IF(H6="USD",E6*G6*PROY!$B$7,E6*G6),"")</f>
        <v/>
      </c>
    </row>
    <row r="7">
      <c r="B7" s="6">
        <f>IFERROR(VLOOKUP(A7,WBS!A$4:B$200,2,FALSE),"")</f>
        <v/>
      </c>
      <c r="I7" s="14">
        <f>IFERROR(IF(H7="USD",E7*G7*PROY!$B$7,E7*G7),"")</f>
        <v/>
      </c>
    </row>
    <row r="8">
      <c r="B8" s="6">
        <f>IFERROR(VLOOKUP(A8,WBS!A$4:B$200,2,FALSE),"")</f>
        <v/>
      </c>
      <c r="I8" s="14">
        <f>IFERROR(IF(H8="USD",E8*G8*PROY!$B$7,E8*G8),"")</f>
        <v/>
      </c>
    </row>
    <row r="9">
      <c r="B9" s="6">
        <f>IFERROR(VLOOKUP(A9,WBS!A$4:B$200,2,FALSE),"")</f>
        <v/>
      </c>
      <c r="I9" s="14">
        <f>IFERROR(IF(H9="USD",E9*G9*PROY!$B$7,E9*G9),"")</f>
        <v/>
      </c>
    </row>
    <row r="10">
      <c r="B10" s="6">
        <f>IFERROR(VLOOKUP(A10,WBS!A$4:B$200,2,FALSE),"")</f>
        <v/>
      </c>
      <c r="I10" s="14">
        <f>IFERROR(IF(H10="USD",E10*G10*PROY!$B$7,E10*G10),"")</f>
        <v/>
      </c>
    </row>
    <row r="11">
      <c r="B11" s="6">
        <f>IFERROR(VLOOKUP(A11,WBS!A$4:B$200,2,FALSE),"")</f>
        <v/>
      </c>
      <c r="I11" s="14">
        <f>IFERROR(IF(H11="USD",E11*G11*PROY!$B$7,E11*G11),"")</f>
        <v/>
      </c>
    </row>
    <row r="12">
      <c r="B12" s="6">
        <f>IFERROR(VLOOKUP(A12,WBS!A$4:B$200,2,FALSE),"")</f>
        <v/>
      </c>
      <c r="I12" s="14">
        <f>IFERROR(IF(H12="USD",E12*G12*PROY!$B$7,E12*G12),"")</f>
        <v/>
      </c>
    </row>
    <row r="13">
      <c r="B13" s="6">
        <f>IFERROR(VLOOKUP(A13,WBS!A$4:B$200,2,FALSE),"")</f>
        <v/>
      </c>
      <c r="I13" s="14">
        <f>IFERROR(IF(H13="USD",E13*G13*PROY!$B$7,E13*G13),"")</f>
        <v/>
      </c>
    </row>
    <row r="14">
      <c r="B14" s="6">
        <f>IFERROR(VLOOKUP(A14,WBS!A$4:B$200,2,FALSE),"")</f>
        <v/>
      </c>
      <c r="I14" s="14">
        <f>IFERROR(IF(H14="USD",E14*G14*PROY!$B$7,E14*G14),"")</f>
        <v/>
      </c>
    </row>
    <row r="15">
      <c r="B15" s="6">
        <f>IFERROR(VLOOKUP(A15,WBS!A$4:B$200,2,FALSE),"")</f>
        <v/>
      </c>
      <c r="I15" s="14">
        <f>IFERROR(IF(H15="USD",E15*G15*PROY!$B$7,E15*G15),"")</f>
        <v/>
      </c>
    </row>
    <row r="16">
      <c r="B16" s="6">
        <f>IFERROR(VLOOKUP(A16,WBS!A$4:B$200,2,FALSE),"")</f>
        <v/>
      </c>
      <c r="I16" s="14">
        <f>IFERROR(IF(H16="USD",E16*G16*PROY!$B$7,E16*G16),"")</f>
        <v/>
      </c>
    </row>
    <row r="17">
      <c r="B17" s="6">
        <f>IFERROR(VLOOKUP(A17,WBS!A$4:B$200,2,FALSE),"")</f>
        <v/>
      </c>
      <c r="I17" s="14">
        <f>IFERROR(IF(H17="USD",E17*G17*PROY!$B$7,E17*G17),"")</f>
        <v/>
      </c>
    </row>
    <row r="18">
      <c r="B18" s="6">
        <f>IFERROR(VLOOKUP(A18,WBS!A$4:B$200,2,FALSE),"")</f>
        <v/>
      </c>
      <c r="I18" s="14">
        <f>IFERROR(IF(H18="USD",E18*G18*PROY!$B$7,E18*G18),"")</f>
        <v/>
      </c>
    </row>
    <row r="19">
      <c r="B19" s="6">
        <f>IFERROR(VLOOKUP(A19,WBS!A$4:B$200,2,FALSE),"")</f>
        <v/>
      </c>
      <c r="I19" s="14">
        <f>IFERROR(IF(H19="USD",E19*G19*PROY!$B$7,E19*G19),"")</f>
        <v/>
      </c>
    </row>
    <row r="20">
      <c r="B20" s="6">
        <f>IFERROR(VLOOKUP(A20,WBS!A$4:B$200,2,FALSE),"")</f>
        <v/>
      </c>
      <c r="I20" s="14">
        <f>IFERROR(IF(H20="USD",E20*G20*PROY!$B$7,E20*G20),"")</f>
        <v/>
      </c>
    </row>
    <row r="21">
      <c r="B21" s="6">
        <f>IFERROR(VLOOKUP(A21,WBS!A$4:B$200,2,FALSE),"")</f>
        <v/>
      </c>
      <c r="I21" s="14">
        <f>IFERROR(IF(H21="USD",E21*G21*PROY!$B$7,E21*G21),"")</f>
        <v/>
      </c>
    </row>
    <row r="22">
      <c r="B22" s="6">
        <f>IFERROR(VLOOKUP(A22,WBS!A$4:B$200,2,FALSE),"")</f>
        <v/>
      </c>
      <c r="I22" s="14">
        <f>IFERROR(IF(H22="USD",E22*G22*PROY!$B$7,E22*G22),"")</f>
        <v/>
      </c>
    </row>
    <row r="23">
      <c r="B23" s="6">
        <f>IFERROR(VLOOKUP(A23,WBS!A$4:B$200,2,FALSE),"")</f>
        <v/>
      </c>
      <c r="I23" s="14">
        <f>IFERROR(IF(H23="USD",E23*G23*PROY!$B$7,E23*G23),"")</f>
        <v/>
      </c>
    </row>
    <row r="24">
      <c r="B24" s="6">
        <f>IFERROR(VLOOKUP(A24,WBS!A$4:B$200,2,FALSE),"")</f>
        <v/>
      </c>
      <c r="I24" s="14">
        <f>IFERROR(IF(H24="USD",E24*G24*PROY!$B$7,E24*G24),"")</f>
        <v/>
      </c>
    </row>
    <row r="25">
      <c r="B25" s="6">
        <f>IFERROR(VLOOKUP(A25,WBS!A$4:B$200,2,FALSE),"")</f>
        <v/>
      </c>
      <c r="I25" s="14">
        <f>IFERROR(IF(H25="USD",E25*G25*PROY!$B$7,E25*G25),"")</f>
        <v/>
      </c>
    </row>
    <row r="26">
      <c r="B26" s="6">
        <f>IFERROR(VLOOKUP(A26,WBS!A$4:B$200,2,FALSE),"")</f>
        <v/>
      </c>
      <c r="I26" s="14">
        <f>IFERROR(IF(H26="USD",E26*G26*PROY!$B$7,E26*G26),"")</f>
        <v/>
      </c>
    </row>
    <row r="27">
      <c r="B27" s="6">
        <f>IFERROR(VLOOKUP(A27,WBS!A$4:B$200,2,FALSE),"")</f>
        <v/>
      </c>
      <c r="I27" s="14">
        <f>IFERROR(IF(H27="USD",E27*G27*PROY!$B$7,E27*G27),"")</f>
        <v/>
      </c>
    </row>
    <row r="28">
      <c r="B28" s="6">
        <f>IFERROR(VLOOKUP(A28,WBS!A$4:B$200,2,FALSE),"")</f>
        <v/>
      </c>
      <c r="I28" s="14">
        <f>IFERROR(IF(H28="USD",E28*G28*PROY!$B$7,E28*G28),"")</f>
        <v/>
      </c>
    </row>
    <row r="29">
      <c r="B29" s="6">
        <f>IFERROR(VLOOKUP(A29,WBS!A$4:B$200,2,FALSE),"")</f>
        <v/>
      </c>
      <c r="I29" s="14">
        <f>IFERROR(IF(H29="USD",E29*G29*PROY!$B$7,E29*G29),"")</f>
        <v/>
      </c>
    </row>
    <row r="30">
      <c r="B30" s="6">
        <f>IFERROR(VLOOKUP(A30,WBS!A$4:B$200,2,FALSE),"")</f>
        <v/>
      </c>
      <c r="I30" s="14">
        <f>IFERROR(IF(H30="USD",E30*G30*PROY!$B$7,E30*G30),"")</f>
        <v/>
      </c>
    </row>
    <row r="31">
      <c r="B31" s="6">
        <f>IFERROR(VLOOKUP(A31,WBS!A$4:B$200,2,FALSE),"")</f>
        <v/>
      </c>
      <c r="I31" s="14">
        <f>IFERROR(IF(H31="USD",E31*G31*PROY!$B$7,E31*G31),"")</f>
        <v/>
      </c>
    </row>
    <row r="32">
      <c r="B32" s="6">
        <f>IFERROR(VLOOKUP(A32,WBS!A$4:B$200,2,FALSE),"")</f>
        <v/>
      </c>
      <c r="I32" s="14">
        <f>IFERROR(IF(H32="USD",E32*G32*PROY!$B$7,E32*G32),"")</f>
        <v/>
      </c>
    </row>
    <row r="33">
      <c r="B33" s="6">
        <f>IFERROR(VLOOKUP(A33,WBS!A$4:B$200,2,FALSE),"")</f>
        <v/>
      </c>
      <c r="I33" s="14">
        <f>IFERROR(IF(H33="USD",E33*G33*PROY!$B$7,E33*G33),"")</f>
        <v/>
      </c>
    </row>
    <row r="34">
      <c r="B34" s="6">
        <f>IFERROR(VLOOKUP(A34,WBS!A$4:B$200,2,FALSE),"")</f>
        <v/>
      </c>
      <c r="I34" s="14">
        <f>IFERROR(IF(H34="USD",E34*G34*PROY!$B$7,E34*G34),"")</f>
        <v/>
      </c>
    </row>
    <row r="35">
      <c r="B35" s="6">
        <f>IFERROR(VLOOKUP(A35,WBS!A$4:B$200,2,FALSE),"")</f>
        <v/>
      </c>
      <c r="I35" s="14">
        <f>IFERROR(IF(H35="USD",E35*G35*PROY!$B$7,E35*G35),"")</f>
        <v/>
      </c>
    </row>
    <row r="36">
      <c r="B36" s="6">
        <f>IFERROR(VLOOKUP(A36,WBS!A$4:B$200,2,FALSE),"")</f>
        <v/>
      </c>
      <c r="I36" s="14">
        <f>IFERROR(IF(H36="USD",E36*G36*PROY!$B$7,E36*G36),"")</f>
        <v/>
      </c>
    </row>
    <row r="37">
      <c r="B37" s="6">
        <f>IFERROR(VLOOKUP(A37,WBS!A$4:B$200,2,FALSE),"")</f>
        <v/>
      </c>
      <c r="I37" s="14">
        <f>IFERROR(IF(H37="USD",E37*G37*PROY!$B$7,E37*G37),"")</f>
        <v/>
      </c>
    </row>
    <row r="38">
      <c r="B38" s="6">
        <f>IFERROR(VLOOKUP(A38,WBS!A$4:B$200,2,FALSE),"")</f>
        <v/>
      </c>
      <c r="I38" s="14">
        <f>IFERROR(IF(H38="USD",E38*G38*PROY!$B$7,E38*G38),"")</f>
        <v/>
      </c>
    </row>
    <row r="39">
      <c r="B39" s="6">
        <f>IFERROR(VLOOKUP(A39,WBS!A$4:B$200,2,FALSE),"")</f>
        <v/>
      </c>
      <c r="I39" s="14">
        <f>IFERROR(IF(H39="USD",E39*G39*PROY!$B$7,E39*G39),"")</f>
        <v/>
      </c>
    </row>
    <row r="40">
      <c r="B40" s="6">
        <f>IFERROR(VLOOKUP(A40,WBS!A$4:B$200,2,FALSE),"")</f>
        <v/>
      </c>
      <c r="I40" s="14">
        <f>IFERROR(IF(H40="USD",E40*G40*PROY!$B$7,E40*G40),"")</f>
        <v/>
      </c>
    </row>
    <row r="41">
      <c r="B41" s="6">
        <f>IFERROR(VLOOKUP(A41,WBS!A$4:B$200,2,FALSE),"")</f>
        <v/>
      </c>
      <c r="I41" s="14">
        <f>IFERROR(IF(H41="USD",E41*G41*PROY!$B$7,E41*G41),"")</f>
        <v/>
      </c>
    </row>
    <row r="42">
      <c r="B42" s="6">
        <f>IFERROR(VLOOKUP(A42,WBS!A$4:B$200,2,FALSE),"")</f>
        <v/>
      </c>
      <c r="I42" s="14">
        <f>IFERROR(IF(H42="USD",E42*G42*PROY!$B$7,E42*G42),"")</f>
        <v/>
      </c>
    </row>
    <row r="43">
      <c r="B43" s="6">
        <f>IFERROR(VLOOKUP(A43,WBS!A$4:B$200,2,FALSE),"")</f>
        <v/>
      </c>
      <c r="I43" s="14">
        <f>IFERROR(IF(H43="USD",E43*G43*PROY!$B$7,E43*G43),"")</f>
        <v/>
      </c>
    </row>
    <row r="44">
      <c r="B44" s="6">
        <f>IFERROR(VLOOKUP(A44,WBS!A$4:B$200,2,FALSE),"")</f>
        <v/>
      </c>
      <c r="I44" s="14">
        <f>IFERROR(IF(H44="USD",E44*G44*PROY!$B$7,E44*G44),"")</f>
        <v/>
      </c>
    </row>
    <row r="45">
      <c r="B45" s="6">
        <f>IFERROR(VLOOKUP(A45,WBS!A$4:B$200,2,FALSE),"")</f>
        <v/>
      </c>
      <c r="I45" s="14">
        <f>IFERROR(IF(H45="USD",E45*G45*PROY!$B$7,E45*G45),"")</f>
        <v/>
      </c>
    </row>
    <row r="46">
      <c r="B46" s="6">
        <f>IFERROR(VLOOKUP(A46,WBS!A$4:B$200,2,FALSE),"")</f>
        <v/>
      </c>
      <c r="I46" s="14">
        <f>IFERROR(IF(H46="USD",E46*G46*PROY!$B$7,E46*G46),"")</f>
        <v/>
      </c>
    </row>
    <row r="47">
      <c r="B47" s="6">
        <f>IFERROR(VLOOKUP(A47,WBS!A$4:B$200,2,FALSE),"")</f>
        <v/>
      </c>
      <c r="I47" s="14">
        <f>IFERROR(IF(H47="USD",E47*G47*PROY!$B$7,E47*G47),"")</f>
        <v/>
      </c>
    </row>
    <row r="48">
      <c r="B48" s="6">
        <f>IFERROR(VLOOKUP(A48,WBS!A$4:B$200,2,FALSE),"")</f>
        <v/>
      </c>
      <c r="I48" s="14">
        <f>IFERROR(IF(H48="USD",E48*G48*PROY!$B$7,E48*G48),"")</f>
        <v/>
      </c>
    </row>
    <row r="49">
      <c r="B49" s="6">
        <f>IFERROR(VLOOKUP(A49,WBS!A$4:B$200,2,FALSE),"")</f>
        <v/>
      </c>
      <c r="I49" s="14">
        <f>IFERROR(IF(H49="USD",E49*G49*PROY!$B$7,E49*G49),"")</f>
        <v/>
      </c>
    </row>
    <row r="50">
      <c r="B50" s="6">
        <f>IFERROR(VLOOKUP(A50,WBS!A$4:B$200,2,FALSE),"")</f>
        <v/>
      </c>
      <c r="I50" s="14">
        <f>IFERROR(IF(H50="USD",E50*G50*PROY!$B$7,E50*G50),"")</f>
        <v/>
      </c>
    </row>
    <row r="51">
      <c r="B51" s="6">
        <f>IFERROR(VLOOKUP(A51,WBS!A$4:B$200,2,FALSE),"")</f>
        <v/>
      </c>
      <c r="I51" s="14">
        <f>IFERROR(IF(H51="USD",E51*G51*PROY!$B$7,E51*G51),"")</f>
        <v/>
      </c>
    </row>
    <row r="52">
      <c r="B52" s="6">
        <f>IFERROR(VLOOKUP(A52,WBS!A$4:B$200,2,FALSE),"")</f>
        <v/>
      </c>
      <c r="I52" s="14">
        <f>IFERROR(IF(H52="USD",E52*G52*PROY!$B$7,E52*G52),"")</f>
        <v/>
      </c>
    </row>
    <row r="53">
      <c r="B53" s="6">
        <f>IFERROR(VLOOKUP(A53,WBS!A$4:B$200,2,FALSE),"")</f>
        <v/>
      </c>
      <c r="I53" s="14">
        <f>IFERROR(IF(H53="USD",E53*G53*PROY!$B$7,E53*G53),"")</f>
        <v/>
      </c>
    </row>
    <row r="54">
      <c r="B54" s="6">
        <f>IFERROR(VLOOKUP(A54,WBS!A$4:B$200,2,FALSE),"")</f>
        <v/>
      </c>
      <c r="I54" s="14">
        <f>IFERROR(IF(H54="USD",E54*G54*PROY!$B$7,E54*G54),"")</f>
        <v/>
      </c>
    </row>
    <row r="55">
      <c r="B55" s="6">
        <f>IFERROR(VLOOKUP(A55,WBS!A$4:B$200,2,FALSE),"")</f>
        <v/>
      </c>
      <c r="I55" s="14">
        <f>IFERROR(IF(H55="USD",E55*G55*PROY!$B$7,E55*G55),"")</f>
        <v/>
      </c>
    </row>
    <row r="56">
      <c r="B56" s="6">
        <f>IFERROR(VLOOKUP(A56,WBS!A$4:B$200,2,FALSE),"")</f>
        <v/>
      </c>
      <c r="I56" s="14">
        <f>IFERROR(IF(H56="USD",E56*G56*PROY!$B$7,E56*G56),"")</f>
        <v/>
      </c>
    </row>
    <row r="57">
      <c r="B57" s="6">
        <f>IFERROR(VLOOKUP(A57,WBS!A$4:B$200,2,FALSE),"")</f>
        <v/>
      </c>
      <c r="I57" s="14">
        <f>IFERROR(IF(H57="USD",E57*G57*PROY!$B$7,E57*G57),"")</f>
        <v/>
      </c>
    </row>
    <row r="58">
      <c r="B58" s="6">
        <f>IFERROR(VLOOKUP(A58,WBS!A$4:B$200,2,FALSE),"")</f>
        <v/>
      </c>
      <c r="I58" s="14">
        <f>IFERROR(IF(H58="USD",E58*G58*PROY!$B$7,E58*G58),"")</f>
        <v/>
      </c>
    </row>
    <row r="59">
      <c r="B59" s="6">
        <f>IFERROR(VLOOKUP(A59,WBS!A$4:B$200,2,FALSE),"")</f>
        <v/>
      </c>
      <c r="I59" s="14">
        <f>IFERROR(IF(H59="USD",E59*G59*PROY!$B$7,E59*G59),"")</f>
        <v/>
      </c>
    </row>
    <row r="60">
      <c r="B60" s="6">
        <f>IFERROR(VLOOKUP(A60,WBS!A$4:B$200,2,FALSE),"")</f>
        <v/>
      </c>
      <c r="I60" s="14">
        <f>IFERROR(IF(H60="USD",E60*G60*PROY!$B$7,E60*G60),"")</f>
        <v/>
      </c>
    </row>
    <row r="61">
      <c r="B61" s="6">
        <f>IFERROR(VLOOKUP(A61,WBS!A$4:B$200,2,FALSE),"")</f>
        <v/>
      </c>
      <c r="I61" s="14">
        <f>IFERROR(IF(H61="USD",E61*G61*PROY!$B$7,E61*G61),"")</f>
        <v/>
      </c>
    </row>
    <row r="62">
      <c r="B62" s="6">
        <f>IFERROR(VLOOKUP(A62,WBS!A$4:B$200,2,FALSE),"")</f>
        <v/>
      </c>
      <c r="I62" s="14">
        <f>IFERROR(IF(H62="USD",E62*G62*PROY!$B$7,E62*G62),"")</f>
        <v/>
      </c>
    </row>
    <row r="63">
      <c r="B63" s="6">
        <f>IFERROR(VLOOKUP(A63,WBS!A$4:B$200,2,FALSE),"")</f>
        <v/>
      </c>
      <c r="I63" s="14">
        <f>IFERROR(IF(H63="USD",E63*G63*PROY!$B$7,E63*G63),"")</f>
        <v/>
      </c>
    </row>
    <row r="64">
      <c r="B64" s="6">
        <f>IFERROR(VLOOKUP(A64,WBS!A$4:B$200,2,FALSE),"")</f>
        <v/>
      </c>
      <c r="I64" s="14">
        <f>IFERROR(IF(H64="USD",E64*G64*PROY!$B$7,E64*G64),"")</f>
        <v/>
      </c>
    </row>
    <row r="65">
      <c r="B65" s="6">
        <f>IFERROR(VLOOKUP(A65,WBS!A$4:B$200,2,FALSE),"")</f>
        <v/>
      </c>
      <c r="I65" s="14">
        <f>IFERROR(IF(H65="USD",E65*G65*PROY!$B$7,E65*G65),"")</f>
        <v/>
      </c>
    </row>
    <row r="66">
      <c r="B66" s="6">
        <f>IFERROR(VLOOKUP(A66,WBS!A$4:B$200,2,FALSE),"")</f>
        <v/>
      </c>
      <c r="I66" s="14">
        <f>IFERROR(IF(H66="USD",E66*G66*PROY!$B$7,E66*G66),"")</f>
        <v/>
      </c>
    </row>
    <row r="67">
      <c r="B67" s="6">
        <f>IFERROR(VLOOKUP(A67,WBS!A$4:B$200,2,FALSE),"")</f>
        <v/>
      </c>
      <c r="I67" s="14">
        <f>IFERROR(IF(H67="USD",E67*G67*PROY!$B$7,E67*G67),"")</f>
        <v/>
      </c>
    </row>
    <row r="68">
      <c r="B68" s="6">
        <f>IFERROR(VLOOKUP(A68,WBS!A$4:B$200,2,FALSE),"")</f>
        <v/>
      </c>
      <c r="I68" s="14">
        <f>IFERROR(IF(H68="USD",E68*G68*PROY!$B$7,E68*G68),"")</f>
        <v/>
      </c>
    </row>
    <row r="69">
      <c r="B69" s="6">
        <f>IFERROR(VLOOKUP(A69,WBS!A$4:B$200,2,FALSE),"")</f>
        <v/>
      </c>
      <c r="I69" s="14">
        <f>IFERROR(IF(H69="USD",E69*G69*PROY!$B$7,E69*G69),"")</f>
        <v/>
      </c>
    </row>
    <row r="70">
      <c r="B70" s="6">
        <f>IFERROR(VLOOKUP(A70,WBS!A$4:B$200,2,FALSE),"")</f>
        <v/>
      </c>
      <c r="I70" s="14">
        <f>IFERROR(IF(H70="USD",E70*G70*PROY!$B$7,E70*G70),"")</f>
        <v/>
      </c>
    </row>
    <row r="71">
      <c r="B71" s="6">
        <f>IFERROR(VLOOKUP(A71,WBS!A$4:B$200,2,FALSE),"")</f>
        <v/>
      </c>
      <c r="I71" s="14">
        <f>IFERROR(IF(H71="USD",E71*G71*PROY!$B$7,E71*G71),"")</f>
        <v/>
      </c>
    </row>
    <row r="72">
      <c r="B72" s="6">
        <f>IFERROR(VLOOKUP(A72,WBS!A$4:B$200,2,FALSE),"")</f>
        <v/>
      </c>
      <c r="I72" s="14">
        <f>IFERROR(IF(H72="USD",E72*G72*PROY!$B$7,E72*G72),"")</f>
        <v/>
      </c>
    </row>
    <row r="73">
      <c r="B73" s="6">
        <f>IFERROR(VLOOKUP(A73,WBS!A$4:B$200,2,FALSE),"")</f>
        <v/>
      </c>
      <c r="I73" s="14">
        <f>IFERROR(IF(H73="USD",E73*G73*PROY!$B$7,E73*G73),"")</f>
        <v/>
      </c>
    </row>
    <row r="74">
      <c r="B74" s="6">
        <f>IFERROR(VLOOKUP(A74,WBS!A$4:B$200,2,FALSE),"")</f>
        <v/>
      </c>
      <c r="I74" s="14">
        <f>IFERROR(IF(H74="USD",E74*G74*PROY!$B$7,E74*G74),"")</f>
        <v/>
      </c>
    </row>
    <row r="75">
      <c r="B75" s="6">
        <f>IFERROR(VLOOKUP(A75,WBS!A$4:B$200,2,FALSE),"")</f>
        <v/>
      </c>
      <c r="I75" s="14">
        <f>IFERROR(IF(H75="USD",E75*G75*PROY!$B$7,E75*G75),"")</f>
        <v/>
      </c>
    </row>
    <row r="76">
      <c r="B76" s="6">
        <f>IFERROR(VLOOKUP(A76,WBS!A$4:B$200,2,FALSE),"")</f>
        <v/>
      </c>
      <c r="I76" s="14">
        <f>IFERROR(IF(H76="USD",E76*G76*PROY!$B$7,E76*G76),"")</f>
        <v/>
      </c>
    </row>
    <row r="77">
      <c r="B77" s="6">
        <f>IFERROR(VLOOKUP(A77,WBS!A$4:B$200,2,FALSE),"")</f>
        <v/>
      </c>
      <c r="I77" s="14">
        <f>IFERROR(IF(H77="USD",E77*G77*PROY!$B$7,E77*G77),"")</f>
        <v/>
      </c>
    </row>
    <row r="78">
      <c r="B78" s="6">
        <f>IFERROR(VLOOKUP(A78,WBS!A$4:B$200,2,FALSE),"")</f>
        <v/>
      </c>
      <c r="I78" s="14">
        <f>IFERROR(IF(H78="USD",E78*G78*PROY!$B$7,E78*G78),"")</f>
        <v/>
      </c>
    </row>
    <row r="79">
      <c r="B79" s="6">
        <f>IFERROR(VLOOKUP(A79,WBS!A$4:B$200,2,FALSE),"")</f>
        <v/>
      </c>
      <c r="I79" s="14">
        <f>IFERROR(IF(H79="USD",E79*G79*PROY!$B$7,E79*G79),"")</f>
        <v/>
      </c>
    </row>
    <row r="80">
      <c r="B80" s="6">
        <f>IFERROR(VLOOKUP(A80,WBS!A$4:B$200,2,FALSE),"")</f>
        <v/>
      </c>
      <c r="I80" s="14">
        <f>IFERROR(IF(H80="USD",E80*G80*PROY!$B$7,E80*G80),"")</f>
        <v/>
      </c>
    </row>
    <row r="81">
      <c r="B81" s="6">
        <f>IFERROR(VLOOKUP(A81,WBS!A$4:B$200,2,FALSE),"")</f>
        <v/>
      </c>
      <c r="I81" s="14">
        <f>IFERROR(IF(H81="USD",E81*G81*PROY!$B$7,E81*G81),"")</f>
        <v/>
      </c>
    </row>
    <row r="82">
      <c r="B82" s="6">
        <f>IFERROR(VLOOKUP(A82,WBS!A$4:B$200,2,FALSE),"")</f>
        <v/>
      </c>
      <c r="I82" s="14">
        <f>IFERROR(IF(H82="USD",E82*G82*PROY!$B$7,E82*G82),"")</f>
        <v/>
      </c>
    </row>
    <row r="83">
      <c r="B83" s="6">
        <f>IFERROR(VLOOKUP(A83,WBS!A$4:B$200,2,FALSE),"")</f>
        <v/>
      </c>
      <c r="I83" s="14">
        <f>IFERROR(IF(H83="USD",E83*G83*PROY!$B$7,E83*G83),"")</f>
        <v/>
      </c>
    </row>
    <row r="84">
      <c r="B84" s="6">
        <f>IFERROR(VLOOKUP(A84,WBS!A$4:B$200,2,FALSE),"")</f>
        <v/>
      </c>
      <c r="I84" s="14">
        <f>IFERROR(IF(H84="USD",E84*G84*PROY!$B$7,E84*G84),"")</f>
        <v/>
      </c>
    </row>
    <row r="85">
      <c r="B85" s="6">
        <f>IFERROR(VLOOKUP(A85,WBS!A$4:B$200,2,FALSE),"")</f>
        <v/>
      </c>
      <c r="I85" s="14">
        <f>IFERROR(IF(H85="USD",E85*G85*PROY!$B$7,E85*G85),"")</f>
        <v/>
      </c>
    </row>
    <row r="86">
      <c r="B86" s="6">
        <f>IFERROR(VLOOKUP(A86,WBS!A$4:B$200,2,FALSE),"")</f>
        <v/>
      </c>
      <c r="I86" s="14">
        <f>IFERROR(IF(H86="USD",E86*G86*PROY!$B$7,E86*G86),"")</f>
        <v/>
      </c>
    </row>
    <row r="87">
      <c r="B87" s="6">
        <f>IFERROR(VLOOKUP(A87,WBS!A$4:B$200,2,FALSE),"")</f>
        <v/>
      </c>
      <c r="I87" s="14">
        <f>IFERROR(IF(H87="USD",E87*G87*PROY!$B$7,E87*G87),"")</f>
        <v/>
      </c>
    </row>
    <row r="88">
      <c r="B88" s="6">
        <f>IFERROR(VLOOKUP(A88,WBS!A$4:B$200,2,FALSE),"")</f>
        <v/>
      </c>
      <c r="I88" s="14">
        <f>IFERROR(IF(H88="USD",E88*G88*PROY!$B$7,E88*G88),"")</f>
        <v/>
      </c>
    </row>
    <row r="89">
      <c r="B89" s="6">
        <f>IFERROR(VLOOKUP(A89,WBS!A$4:B$200,2,FALSE),"")</f>
        <v/>
      </c>
      <c r="I89" s="14">
        <f>IFERROR(IF(H89="USD",E89*G89*PROY!$B$7,E89*G89),"")</f>
        <v/>
      </c>
    </row>
    <row r="90">
      <c r="B90" s="6">
        <f>IFERROR(VLOOKUP(A90,WBS!A$4:B$200,2,FALSE),"")</f>
        <v/>
      </c>
      <c r="I90" s="14">
        <f>IFERROR(IF(H90="USD",E90*G90*PROY!$B$7,E90*G90),"")</f>
        <v/>
      </c>
    </row>
    <row r="91">
      <c r="B91" s="6">
        <f>IFERROR(VLOOKUP(A91,WBS!A$4:B$200,2,FALSE),"")</f>
        <v/>
      </c>
      <c r="I91" s="14">
        <f>IFERROR(IF(H91="USD",E91*G91*PROY!$B$7,E91*G91),"")</f>
        <v/>
      </c>
    </row>
    <row r="92">
      <c r="B92" s="6">
        <f>IFERROR(VLOOKUP(A92,WBS!A$4:B$200,2,FALSE),"")</f>
        <v/>
      </c>
      <c r="I92" s="14">
        <f>IFERROR(IF(H92="USD",E92*G92*PROY!$B$7,E92*G92),"")</f>
        <v/>
      </c>
    </row>
    <row r="93">
      <c r="B93" s="6">
        <f>IFERROR(VLOOKUP(A93,WBS!A$4:B$200,2,FALSE),"")</f>
        <v/>
      </c>
      <c r="I93" s="14">
        <f>IFERROR(IF(H93="USD",E93*G93*PROY!$B$7,E93*G93),"")</f>
        <v/>
      </c>
    </row>
    <row r="94">
      <c r="B94" s="6">
        <f>IFERROR(VLOOKUP(A94,WBS!A$4:B$200,2,FALSE),"")</f>
        <v/>
      </c>
      <c r="I94" s="14">
        <f>IFERROR(IF(H94="USD",E94*G94*PROY!$B$7,E94*G94),"")</f>
        <v/>
      </c>
    </row>
    <row r="95">
      <c r="B95" s="6">
        <f>IFERROR(VLOOKUP(A95,WBS!A$4:B$200,2,FALSE),"")</f>
        <v/>
      </c>
      <c r="I95" s="14">
        <f>IFERROR(IF(H95="USD",E95*G95*PROY!$B$7,E95*G95),"")</f>
        <v/>
      </c>
    </row>
    <row r="96">
      <c r="B96" s="6">
        <f>IFERROR(VLOOKUP(A96,WBS!A$4:B$200,2,FALSE),"")</f>
        <v/>
      </c>
      <c r="I96" s="14">
        <f>IFERROR(IF(H96="USD",E96*G96*PROY!$B$7,E96*G96),"")</f>
        <v/>
      </c>
    </row>
    <row r="97">
      <c r="B97" s="6">
        <f>IFERROR(VLOOKUP(A97,WBS!A$4:B$200,2,FALSE),"")</f>
        <v/>
      </c>
      <c r="I97" s="14">
        <f>IFERROR(IF(H97="USD",E97*G97*PROY!$B$7,E97*G97),"")</f>
        <v/>
      </c>
    </row>
    <row r="98">
      <c r="B98" s="6">
        <f>IFERROR(VLOOKUP(A98,WBS!A$4:B$200,2,FALSE),"")</f>
        <v/>
      </c>
      <c r="I98" s="14">
        <f>IFERROR(IF(H98="USD",E98*G98*PROY!$B$7,E98*G98),"")</f>
        <v/>
      </c>
    </row>
    <row r="99">
      <c r="B99" s="6">
        <f>IFERROR(VLOOKUP(A99,WBS!A$4:B$200,2,FALSE),"")</f>
        <v/>
      </c>
      <c r="I99" s="14">
        <f>IFERROR(IF(H99="USD",E99*G99*PROY!$B$7,E99*G99),"")</f>
        <v/>
      </c>
    </row>
    <row r="100">
      <c r="B100" s="6">
        <f>IFERROR(VLOOKUP(A100,WBS!A$4:B$200,2,FALSE),"")</f>
        <v/>
      </c>
      <c r="I100" s="14">
        <f>IFERROR(IF(H100="USD",E100*G100*PROY!$B$7,E100*G100),"")</f>
        <v/>
      </c>
    </row>
    <row r="101">
      <c r="B101" s="6">
        <f>IFERROR(VLOOKUP(A101,WBS!A$4:B$200,2,FALSE),"")</f>
        <v/>
      </c>
      <c r="I101" s="14">
        <f>IFERROR(IF(H101="USD",E101*G101*PROY!$B$7,E101*G101),"")</f>
        <v/>
      </c>
    </row>
    <row r="102">
      <c r="B102" s="6">
        <f>IFERROR(VLOOKUP(A102,WBS!A$4:B$200,2,FALSE),"")</f>
        <v/>
      </c>
      <c r="I102" s="14">
        <f>IFERROR(IF(H102="USD",E102*G102*PROY!$B$7,E102*G102),"")</f>
        <v/>
      </c>
    </row>
    <row r="103">
      <c r="B103" s="6">
        <f>IFERROR(VLOOKUP(A103,WBS!A$4:B$200,2,FALSE),"")</f>
        <v/>
      </c>
      <c r="I103" s="14">
        <f>IFERROR(IF(H103="USD",E103*G103*PROY!$B$7,E103*G103),"")</f>
        <v/>
      </c>
    </row>
    <row r="104">
      <c r="B104" s="6">
        <f>IFERROR(VLOOKUP(A104,WBS!A$4:B$200,2,FALSE),"")</f>
        <v/>
      </c>
      <c r="I104" s="14">
        <f>IFERROR(IF(H104="USD",E104*G104*PROY!$B$7,E104*G104),"")</f>
        <v/>
      </c>
    </row>
    <row r="105">
      <c r="B105" s="6">
        <f>IFERROR(VLOOKUP(A105,WBS!A$4:B$200,2,FALSE),"")</f>
        <v/>
      </c>
      <c r="I105" s="14">
        <f>IFERROR(IF(H105="USD",E105*G105*PROY!$B$7,E105*G105),"")</f>
        <v/>
      </c>
    </row>
    <row r="106">
      <c r="B106" s="6">
        <f>IFERROR(VLOOKUP(A106,WBS!A$4:B$200,2,FALSE),"")</f>
        <v/>
      </c>
      <c r="I106" s="14">
        <f>IFERROR(IF(H106="USD",E106*G106*PROY!$B$7,E106*G106),"")</f>
        <v/>
      </c>
    </row>
    <row r="107">
      <c r="B107" s="6">
        <f>IFERROR(VLOOKUP(A107,WBS!A$4:B$200,2,FALSE),"")</f>
        <v/>
      </c>
      <c r="I107" s="14">
        <f>IFERROR(IF(H107="USD",E107*G107*PROY!$B$7,E107*G107),"")</f>
        <v/>
      </c>
    </row>
    <row r="108">
      <c r="B108" s="6">
        <f>IFERROR(VLOOKUP(A108,WBS!A$4:B$200,2,FALSE),"")</f>
        <v/>
      </c>
      <c r="I108" s="14">
        <f>IFERROR(IF(H108="USD",E108*G108*PROY!$B$7,E108*G108),"")</f>
        <v/>
      </c>
    </row>
    <row r="109">
      <c r="B109" s="6">
        <f>IFERROR(VLOOKUP(A109,WBS!A$4:B$200,2,FALSE),"")</f>
        <v/>
      </c>
      <c r="I109" s="14">
        <f>IFERROR(IF(H109="USD",E109*G109*PROY!$B$7,E109*G109),"")</f>
        <v/>
      </c>
    </row>
    <row r="110">
      <c r="B110" s="6">
        <f>IFERROR(VLOOKUP(A110,WBS!A$4:B$200,2,FALSE),"")</f>
        <v/>
      </c>
      <c r="I110" s="14">
        <f>IFERROR(IF(H110="USD",E110*G110*PROY!$B$7,E110*G110),"")</f>
        <v/>
      </c>
    </row>
    <row r="111">
      <c r="B111" s="6">
        <f>IFERROR(VLOOKUP(A111,WBS!A$4:B$200,2,FALSE),"")</f>
        <v/>
      </c>
      <c r="I111" s="14">
        <f>IFERROR(IF(H111="USD",E111*G111*PROY!$B$7,E111*G111),"")</f>
        <v/>
      </c>
    </row>
    <row r="112">
      <c r="B112" s="6">
        <f>IFERROR(VLOOKUP(A112,WBS!A$4:B$200,2,FALSE),"")</f>
        <v/>
      </c>
      <c r="I112" s="14">
        <f>IFERROR(IF(H112="USD",E112*G112*PROY!$B$7,E112*G112),"")</f>
        <v/>
      </c>
    </row>
    <row r="113">
      <c r="B113" s="6">
        <f>IFERROR(VLOOKUP(A113,WBS!A$4:B$200,2,FALSE),"")</f>
        <v/>
      </c>
      <c r="I113" s="14">
        <f>IFERROR(IF(H113="USD",E113*G113*PROY!$B$7,E113*G113),"")</f>
        <v/>
      </c>
    </row>
    <row r="114">
      <c r="B114" s="6">
        <f>IFERROR(VLOOKUP(A114,WBS!A$4:B$200,2,FALSE),"")</f>
        <v/>
      </c>
      <c r="I114" s="14">
        <f>IFERROR(IF(H114="USD",E114*G114*PROY!$B$7,E114*G114),"")</f>
        <v/>
      </c>
    </row>
    <row r="115">
      <c r="B115" s="6">
        <f>IFERROR(VLOOKUP(A115,WBS!A$4:B$200,2,FALSE),"")</f>
        <v/>
      </c>
      <c r="I115" s="14">
        <f>IFERROR(IF(H115="USD",E115*G115*PROY!$B$7,E115*G115),"")</f>
        <v/>
      </c>
    </row>
    <row r="116">
      <c r="B116" s="6">
        <f>IFERROR(VLOOKUP(A116,WBS!A$4:B$200,2,FALSE),"")</f>
        <v/>
      </c>
      <c r="I116" s="14">
        <f>IFERROR(IF(H116="USD",E116*G116*PROY!$B$7,E116*G116),"")</f>
        <v/>
      </c>
    </row>
    <row r="117">
      <c r="B117" s="6">
        <f>IFERROR(VLOOKUP(A117,WBS!A$4:B$200,2,FALSE),"")</f>
        <v/>
      </c>
      <c r="I117" s="14">
        <f>IFERROR(IF(H117="USD",E117*G117*PROY!$B$7,E117*G117),"")</f>
        <v/>
      </c>
    </row>
    <row r="118">
      <c r="B118" s="6">
        <f>IFERROR(VLOOKUP(A118,WBS!A$4:B$200,2,FALSE),"")</f>
        <v/>
      </c>
      <c r="I118" s="14">
        <f>IFERROR(IF(H118="USD",E118*G118*PROY!$B$7,E118*G118),"")</f>
        <v/>
      </c>
    </row>
    <row r="119">
      <c r="B119" s="6">
        <f>IFERROR(VLOOKUP(A119,WBS!A$4:B$200,2,FALSE),"")</f>
        <v/>
      </c>
      <c r="I119" s="14">
        <f>IFERROR(IF(H119="USD",E119*G119*PROY!$B$7,E119*G119),"")</f>
        <v/>
      </c>
    </row>
    <row r="120">
      <c r="B120" s="6">
        <f>IFERROR(VLOOKUP(A120,WBS!A$4:B$200,2,FALSE),"")</f>
        <v/>
      </c>
      <c r="I120" s="14">
        <f>IFERROR(IF(H120="USD",E120*G120*PROY!$B$7,E120*G120),"")</f>
        <v/>
      </c>
    </row>
    <row r="121">
      <c r="B121" s="6">
        <f>IFERROR(VLOOKUP(A121,WBS!A$4:B$200,2,FALSE),"")</f>
        <v/>
      </c>
      <c r="I121" s="14">
        <f>IFERROR(IF(H121="USD",E121*G121*PROY!$B$7,E121*G121),"")</f>
        <v/>
      </c>
    </row>
    <row r="122">
      <c r="B122" s="6">
        <f>IFERROR(VLOOKUP(A122,WBS!A$4:B$200,2,FALSE),"")</f>
        <v/>
      </c>
      <c r="I122" s="14">
        <f>IFERROR(IF(H122="USD",E122*G122*PROY!$B$7,E122*G122),"")</f>
        <v/>
      </c>
    </row>
    <row r="123">
      <c r="B123" s="6">
        <f>IFERROR(VLOOKUP(A123,WBS!A$4:B$200,2,FALSE),"")</f>
        <v/>
      </c>
      <c r="I123" s="14">
        <f>IFERROR(IF(H123="USD",E123*G123*PROY!$B$7,E123*G123),"")</f>
        <v/>
      </c>
    </row>
    <row r="124">
      <c r="B124" s="6">
        <f>IFERROR(VLOOKUP(A124,WBS!A$4:B$200,2,FALSE),"")</f>
        <v/>
      </c>
      <c r="I124" s="14">
        <f>IFERROR(IF(H124="USD",E124*G124*PROY!$B$7,E124*G124),"")</f>
        <v/>
      </c>
    </row>
    <row r="125">
      <c r="B125" s="6">
        <f>IFERROR(VLOOKUP(A125,WBS!A$4:B$200,2,FALSE),"")</f>
        <v/>
      </c>
      <c r="I125" s="14">
        <f>IFERROR(IF(H125="USD",E125*G125*PROY!$B$7,E125*G125),"")</f>
        <v/>
      </c>
    </row>
    <row r="126">
      <c r="B126" s="6">
        <f>IFERROR(VLOOKUP(A126,WBS!A$4:B$200,2,FALSE),"")</f>
        <v/>
      </c>
      <c r="I126" s="14">
        <f>IFERROR(IF(H126="USD",E126*G126*PROY!$B$7,E126*G126),"")</f>
        <v/>
      </c>
    </row>
    <row r="127">
      <c r="B127" s="6">
        <f>IFERROR(VLOOKUP(A127,WBS!A$4:B$200,2,FALSE),"")</f>
        <v/>
      </c>
      <c r="I127" s="14">
        <f>IFERROR(IF(H127="USD",E127*G127*PROY!$B$7,E127*G127),"")</f>
        <v/>
      </c>
    </row>
    <row r="128">
      <c r="B128" s="6">
        <f>IFERROR(VLOOKUP(A128,WBS!A$4:B$200,2,FALSE),"")</f>
        <v/>
      </c>
      <c r="I128" s="14">
        <f>IFERROR(IF(H128="USD",E128*G128*PROY!$B$7,E128*G128),"")</f>
        <v/>
      </c>
    </row>
    <row r="129">
      <c r="B129" s="6">
        <f>IFERROR(VLOOKUP(A129,WBS!A$4:B$200,2,FALSE),"")</f>
        <v/>
      </c>
      <c r="I129" s="14">
        <f>IFERROR(IF(H129="USD",E129*G129*PROY!$B$7,E129*G129),"")</f>
        <v/>
      </c>
    </row>
    <row r="130">
      <c r="B130" s="6">
        <f>IFERROR(VLOOKUP(A130,WBS!A$4:B$200,2,FALSE),"")</f>
        <v/>
      </c>
      <c r="I130" s="14">
        <f>IFERROR(IF(H130="USD",E130*G130*PROY!$B$7,E130*G130),"")</f>
        <v/>
      </c>
    </row>
    <row r="131">
      <c r="B131" s="6">
        <f>IFERROR(VLOOKUP(A131,WBS!A$4:B$200,2,FALSE),"")</f>
        <v/>
      </c>
      <c r="I131" s="14">
        <f>IFERROR(IF(H131="USD",E131*G131*PROY!$B$7,E131*G131),"")</f>
        <v/>
      </c>
    </row>
    <row r="132">
      <c r="B132" s="6">
        <f>IFERROR(VLOOKUP(A132,WBS!A$4:B$200,2,FALSE),"")</f>
        <v/>
      </c>
      <c r="I132" s="14">
        <f>IFERROR(IF(H132="USD",E132*G132*PROY!$B$7,E132*G132),"")</f>
        <v/>
      </c>
    </row>
    <row r="133">
      <c r="B133" s="6">
        <f>IFERROR(VLOOKUP(A133,WBS!A$4:B$200,2,FALSE),"")</f>
        <v/>
      </c>
      <c r="I133" s="14">
        <f>IFERROR(IF(H133="USD",E133*G133*PROY!$B$7,E133*G133),"")</f>
        <v/>
      </c>
    </row>
    <row r="134">
      <c r="B134" s="6">
        <f>IFERROR(VLOOKUP(A134,WBS!A$4:B$200,2,FALSE),"")</f>
        <v/>
      </c>
      <c r="I134" s="14">
        <f>IFERROR(IF(H134="USD",E134*G134*PROY!$B$7,E134*G134),"")</f>
        <v/>
      </c>
    </row>
    <row r="135">
      <c r="B135" s="6">
        <f>IFERROR(VLOOKUP(A135,WBS!A$4:B$200,2,FALSE),"")</f>
        <v/>
      </c>
      <c r="I135" s="14">
        <f>IFERROR(IF(H135="USD",E135*G135*PROY!$B$7,E135*G135),"")</f>
        <v/>
      </c>
    </row>
    <row r="136">
      <c r="B136" s="6">
        <f>IFERROR(VLOOKUP(A136,WBS!A$4:B$200,2,FALSE),"")</f>
        <v/>
      </c>
      <c r="I136" s="14">
        <f>IFERROR(IF(H136="USD",E136*G136*PROY!$B$7,E136*G136),"")</f>
        <v/>
      </c>
    </row>
    <row r="137">
      <c r="B137" s="6">
        <f>IFERROR(VLOOKUP(A137,WBS!A$4:B$200,2,FALSE),"")</f>
        <v/>
      </c>
      <c r="I137" s="14">
        <f>IFERROR(IF(H137="USD",E137*G137*PROY!$B$7,E137*G137),"")</f>
        <v/>
      </c>
    </row>
    <row r="138">
      <c r="B138" s="6">
        <f>IFERROR(VLOOKUP(A138,WBS!A$4:B$200,2,FALSE),"")</f>
        <v/>
      </c>
      <c r="I138" s="14">
        <f>IFERROR(IF(H138="USD",E138*G138*PROY!$B$7,E138*G138),"")</f>
        <v/>
      </c>
    </row>
    <row r="139">
      <c r="B139" s="6">
        <f>IFERROR(VLOOKUP(A139,WBS!A$4:B$200,2,FALSE),"")</f>
        <v/>
      </c>
      <c r="I139" s="14">
        <f>IFERROR(IF(H139="USD",E139*G139*PROY!$B$7,E139*G139),"")</f>
        <v/>
      </c>
    </row>
    <row r="140">
      <c r="B140" s="6">
        <f>IFERROR(VLOOKUP(A140,WBS!A$4:B$200,2,FALSE),"")</f>
        <v/>
      </c>
      <c r="I140" s="14">
        <f>IFERROR(IF(H140="USD",E140*G140*PROY!$B$7,E140*G140),"")</f>
        <v/>
      </c>
    </row>
    <row r="141">
      <c r="B141" s="6">
        <f>IFERROR(VLOOKUP(A141,WBS!A$4:B$200,2,FALSE),"")</f>
        <v/>
      </c>
      <c r="I141" s="14">
        <f>IFERROR(IF(H141="USD",E141*G141*PROY!$B$7,E141*G141),"")</f>
        <v/>
      </c>
    </row>
    <row r="142">
      <c r="B142" s="6">
        <f>IFERROR(VLOOKUP(A142,WBS!A$4:B$200,2,FALSE),"")</f>
        <v/>
      </c>
      <c r="I142" s="14">
        <f>IFERROR(IF(H142="USD",E142*G142*PROY!$B$7,E142*G142),"")</f>
        <v/>
      </c>
    </row>
    <row r="143">
      <c r="B143" s="6">
        <f>IFERROR(VLOOKUP(A143,WBS!A$4:B$200,2,FALSE),"")</f>
        <v/>
      </c>
      <c r="I143" s="14">
        <f>IFERROR(IF(H143="USD",E143*G143*PROY!$B$7,E143*G143),"")</f>
        <v/>
      </c>
    </row>
    <row r="144">
      <c r="B144" s="6">
        <f>IFERROR(VLOOKUP(A144,WBS!A$4:B$200,2,FALSE),"")</f>
        <v/>
      </c>
      <c r="I144" s="14">
        <f>IFERROR(IF(H144="USD",E144*G144*PROY!$B$7,E144*G144),"")</f>
        <v/>
      </c>
    </row>
    <row r="145">
      <c r="B145" s="6">
        <f>IFERROR(VLOOKUP(A145,WBS!A$4:B$200,2,FALSE),"")</f>
        <v/>
      </c>
      <c r="I145" s="14">
        <f>IFERROR(IF(H145="USD",E145*G145*PROY!$B$7,E145*G145),"")</f>
        <v/>
      </c>
    </row>
    <row r="146">
      <c r="B146" s="6">
        <f>IFERROR(VLOOKUP(A146,WBS!A$4:B$200,2,FALSE),"")</f>
        <v/>
      </c>
      <c r="I146" s="14">
        <f>IFERROR(IF(H146="USD",E146*G146*PROY!$B$7,E146*G146),"")</f>
        <v/>
      </c>
    </row>
    <row r="147">
      <c r="B147" s="6">
        <f>IFERROR(VLOOKUP(A147,WBS!A$4:B$200,2,FALSE),"")</f>
        <v/>
      </c>
      <c r="I147" s="14">
        <f>IFERROR(IF(H147="USD",E147*G147*PROY!$B$7,E147*G147),"")</f>
        <v/>
      </c>
    </row>
    <row r="148">
      <c r="B148" s="6">
        <f>IFERROR(VLOOKUP(A148,WBS!A$4:B$200,2,FALSE),"")</f>
        <v/>
      </c>
      <c r="I148" s="14">
        <f>IFERROR(IF(H148="USD",E148*G148*PROY!$B$7,E148*G148),"")</f>
        <v/>
      </c>
    </row>
    <row r="149">
      <c r="B149" s="6">
        <f>IFERROR(VLOOKUP(A149,WBS!A$4:B$200,2,FALSE),"")</f>
        <v/>
      </c>
      <c r="I149" s="14">
        <f>IFERROR(IF(H149="USD",E149*G149*PROY!$B$7,E149*G149),"")</f>
        <v/>
      </c>
    </row>
    <row r="150">
      <c r="B150" s="6">
        <f>IFERROR(VLOOKUP(A150,WBS!A$4:B$200,2,FALSE),"")</f>
        <v/>
      </c>
      <c r="I150" s="14">
        <f>IFERROR(IF(H150="USD",E150*G150*PROY!$B$7,E150*G150),"")</f>
        <v/>
      </c>
    </row>
    <row r="151">
      <c r="B151" s="6">
        <f>IFERROR(VLOOKUP(A151,WBS!A$4:B$200,2,FALSE),"")</f>
        <v/>
      </c>
      <c r="I151" s="14">
        <f>IFERROR(IF(H151="USD",E151*G151*PROY!$B$7,E151*G151),"")</f>
        <v/>
      </c>
    </row>
    <row r="152">
      <c r="B152" s="6">
        <f>IFERROR(VLOOKUP(A152,WBS!A$4:B$200,2,FALSE),"")</f>
        <v/>
      </c>
      <c r="I152" s="14">
        <f>IFERROR(IF(H152="USD",E152*G152*PROY!$B$7,E152*G152),"")</f>
        <v/>
      </c>
    </row>
    <row r="153">
      <c r="B153" s="6">
        <f>IFERROR(VLOOKUP(A153,WBS!A$4:B$200,2,FALSE),"")</f>
        <v/>
      </c>
      <c r="I153" s="14">
        <f>IFERROR(IF(H153="USD",E153*G153*PROY!$B$7,E153*G153),"")</f>
        <v/>
      </c>
    </row>
    <row r="154">
      <c r="B154" s="6">
        <f>IFERROR(VLOOKUP(A154,WBS!A$4:B$200,2,FALSE),"")</f>
        <v/>
      </c>
      <c r="I154" s="14">
        <f>IFERROR(IF(H154="USD",E154*G154*PROY!$B$7,E154*G154),"")</f>
        <v/>
      </c>
    </row>
    <row r="155">
      <c r="B155" s="6">
        <f>IFERROR(VLOOKUP(A155,WBS!A$4:B$200,2,FALSE),"")</f>
        <v/>
      </c>
      <c r="I155" s="14">
        <f>IFERROR(IF(H155="USD",E155*G155*PROY!$B$7,E155*G155),"")</f>
        <v/>
      </c>
    </row>
    <row r="156">
      <c r="B156" s="6">
        <f>IFERROR(VLOOKUP(A156,WBS!A$4:B$200,2,FALSE),"")</f>
        <v/>
      </c>
      <c r="I156" s="14">
        <f>IFERROR(IF(H156="USD",E156*G156*PROY!$B$7,E156*G156),"")</f>
        <v/>
      </c>
    </row>
    <row r="157">
      <c r="B157" s="6">
        <f>IFERROR(VLOOKUP(A157,WBS!A$4:B$200,2,FALSE),"")</f>
        <v/>
      </c>
      <c r="I157" s="14">
        <f>IFERROR(IF(H157="USD",E157*G157*PROY!$B$7,E157*G157),"")</f>
        <v/>
      </c>
    </row>
    <row r="158">
      <c r="B158" s="6">
        <f>IFERROR(VLOOKUP(A158,WBS!A$4:B$200,2,FALSE),"")</f>
        <v/>
      </c>
      <c r="I158" s="14">
        <f>IFERROR(IF(H158="USD",E158*G158*PROY!$B$7,E158*G158),"")</f>
        <v/>
      </c>
    </row>
    <row r="159">
      <c r="B159" s="6">
        <f>IFERROR(VLOOKUP(A159,WBS!A$4:B$200,2,FALSE),"")</f>
        <v/>
      </c>
      <c r="I159" s="14">
        <f>IFERROR(IF(H159="USD",E159*G159*PROY!$B$7,E159*G159),"")</f>
        <v/>
      </c>
    </row>
    <row r="160">
      <c r="B160" s="6">
        <f>IFERROR(VLOOKUP(A160,WBS!A$4:B$200,2,FALSE),"")</f>
        <v/>
      </c>
      <c r="I160" s="14">
        <f>IFERROR(IF(H160="USD",E160*G160*PROY!$B$7,E160*G160),"")</f>
        <v/>
      </c>
    </row>
    <row r="161">
      <c r="B161" s="6">
        <f>IFERROR(VLOOKUP(A161,WBS!A$4:B$200,2,FALSE),"")</f>
        <v/>
      </c>
      <c r="I161" s="14">
        <f>IFERROR(IF(H161="USD",E161*G161*PROY!$B$7,E161*G161),"")</f>
        <v/>
      </c>
    </row>
    <row r="162">
      <c r="B162" s="6">
        <f>IFERROR(VLOOKUP(A162,WBS!A$4:B$200,2,FALSE),"")</f>
        <v/>
      </c>
      <c r="I162" s="14">
        <f>IFERROR(IF(H162="USD",E162*G162*PROY!$B$7,E162*G162),"")</f>
        <v/>
      </c>
    </row>
    <row r="163">
      <c r="B163" s="6">
        <f>IFERROR(VLOOKUP(A163,WBS!A$4:B$200,2,FALSE),"")</f>
        <v/>
      </c>
      <c r="I163" s="14">
        <f>IFERROR(IF(H163="USD",E163*G163*PROY!$B$7,E163*G163),"")</f>
        <v/>
      </c>
    </row>
    <row r="164">
      <c r="B164" s="6">
        <f>IFERROR(VLOOKUP(A164,WBS!A$4:B$200,2,FALSE),"")</f>
        <v/>
      </c>
      <c r="I164" s="14">
        <f>IFERROR(IF(H164="USD",E164*G164*PROY!$B$7,E164*G164),"")</f>
        <v/>
      </c>
    </row>
    <row r="165">
      <c r="B165" s="6">
        <f>IFERROR(VLOOKUP(A165,WBS!A$4:B$200,2,FALSE),"")</f>
        <v/>
      </c>
      <c r="I165" s="14">
        <f>IFERROR(IF(H165="USD",E165*G165*PROY!$B$7,E165*G165),"")</f>
        <v/>
      </c>
    </row>
    <row r="166">
      <c r="B166" s="6">
        <f>IFERROR(VLOOKUP(A166,WBS!A$4:B$200,2,FALSE),"")</f>
        <v/>
      </c>
      <c r="I166" s="14">
        <f>IFERROR(IF(H166="USD",E166*G166*PROY!$B$7,E166*G166),"")</f>
        <v/>
      </c>
    </row>
    <row r="167">
      <c r="B167" s="6">
        <f>IFERROR(VLOOKUP(A167,WBS!A$4:B$200,2,FALSE),"")</f>
        <v/>
      </c>
      <c r="I167" s="14">
        <f>IFERROR(IF(H167="USD",E167*G167*PROY!$B$7,E167*G167),"")</f>
        <v/>
      </c>
    </row>
    <row r="168">
      <c r="B168" s="6">
        <f>IFERROR(VLOOKUP(A168,WBS!A$4:B$200,2,FALSE),"")</f>
        <v/>
      </c>
      <c r="I168" s="14">
        <f>IFERROR(IF(H168="USD",E168*G168*PROY!$B$7,E168*G168),"")</f>
        <v/>
      </c>
    </row>
    <row r="169">
      <c r="B169" s="6">
        <f>IFERROR(VLOOKUP(A169,WBS!A$4:B$200,2,FALSE),"")</f>
        <v/>
      </c>
      <c r="I169" s="14">
        <f>IFERROR(IF(H169="USD",E169*G169*PROY!$B$7,E169*G169),"")</f>
        <v/>
      </c>
    </row>
    <row r="170">
      <c r="B170" s="6">
        <f>IFERROR(VLOOKUP(A170,WBS!A$4:B$200,2,FALSE),"")</f>
        <v/>
      </c>
      <c r="I170" s="14">
        <f>IFERROR(IF(H170="USD",E170*G170*PROY!$B$7,E170*G170),"")</f>
        <v/>
      </c>
    </row>
    <row r="171">
      <c r="B171" s="6">
        <f>IFERROR(VLOOKUP(A171,WBS!A$4:B$200,2,FALSE),"")</f>
        <v/>
      </c>
      <c r="I171" s="14">
        <f>IFERROR(IF(H171="USD",E171*G171*PROY!$B$7,E171*G171),"")</f>
        <v/>
      </c>
    </row>
    <row r="172">
      <c r="B172" s="6">
        <f>IFERROR(VLOOKUP(A172,WBS!A$4:B$200,2,FALSE),"")</f>
        <v/>
      </c>
      <c r="I172" s="14">
        <f>IFERROR(IF(H172="USD",E172*G172*PROY!$B$7,E172*G172),"")</f>
        <v/>
      </c>
    </row>
    <row r="173">
      <c r="B173" s="6">
        <f>IFERROR(VLOOKUP(A173,WBS!A$4:B$200,2,FALSE),"")</f>
        <v/>
      </c>
      <c r="I173" s="14">
        <f>IFERROR(IF(H173="USD",E173*G173*PROY!$B$7,E173*G173),"")</f>
        <v/>
      </c>
    </row>
    <row r="174">
      <c r="B174" s="6">
        <f>IFERROR(VLOOKUP(A174,WBS!A$4:B$200,2,FALSE),"")</f>
        <v/>
      </c>
      <c r="I174" s="14">
        <f>IFERROR(IF(H174="USD",E174*G174*PROY!$B$7,E174*G174),"")</f>
        <v/>
      </c>
    </row>
    <row r="175">
      <c r="B175" s="6">
        <f>IFERROR(VLOOKUP(A175,WBS!A$4:B$200,2,FALSE),"")</f>
        <v/>
      </c>
      <c r="I175" s="14">
        <f>IFERROR(IF(H175="USD",E175*G175*PROY!$B$7,E175*G175),"")</f>
        <v/>
      </c>
    </row>
    <row r="176">
      <c r="B176" s="6">
        <f>IFERROR(VLOOKUP(A176,WBS!A$4:B$200,2,FALSE),"")</f>
        <v/>
      </c>
      <c r="I176" s="14">
        <f>IFERROR(IF(H176="USD",E176*G176*PROY!$B$7,E176*G176),"")</f>
        <v/>
      </c>
    </row>
    <row r="177">
      <c r="B177" s="6">
        <f>IFERROR(VLOOKUP(A177,WBS!A$4:B$200,2,FALSE),"")</f>
        <v/>
      </c>
      <c r="I177" s="14">
        <f>IFERROR(IF(H177="USD",E177*G177*PROY!$B$7,E177*G177),"")</f>
        <v/>
      </c>
    </row>
    <row r="178">
      <c r="B178" s="6">
        <f>IFERROR(VLOOKUP(A178,WBS!A$4:B$200,2,FALSE),"")</f>
        <v/>
      </c>
      <c r="I178" s="14">
        <f>IFERROR(IF(H178="USD",E178*G178*PROY!$B$7,E178*G178),"")</f>
        <v/>
      </c>
    </row>
    <row r="179">
      <c r="B179" s="6">
        <f>IFERROR(VLOOKUP(A179,WBS!A$4:B$200,2,FALSE),"")</f>
        <v/>
      </c>
      <c r="I179" s="14">
        <f>IFERROR(IF(H179="USD",E179*G179*PROY!$B$7,E179*G179),"")</f>
        <v/>
      </c>
    </row>
    <row r="180">
      <c r="B180" s="6">
        <f>IFERROR(VLOOKUP(A180,WBS!A$4:B$200,2,FALSE),"")</f>
        <v/>
      </c>
      <c r="I180" s="14">
        <f>IFERROR(IF(H180="USD",E180*G180*PROY!$B$7,E180*G180),"")</f>
        <v/>
      </c>
    </row>
    <row r="181">
      <c r="B181" s="6">
        <f>IFERROR(VLOOKUP(A181,WBS!A$4:B$200,2,FALSE),"")</f>
        <v/>
      </c>
      <c r="I181" s="14">
        <f>IFERROR(IF(H181="USD",E181*G181*PROY!$B$7,E181*G181),"")</f>
        <v/>
      </c>
    </row>
    <row r="182">
      <c r="B182" s="6">
        <f>IFERROR(VLOOKUP(A182,WBS!A$4:B$200,2,FALSE),"")</f>
        <v/>
      </c>
      <c r="I182" s="14">
        <f>IFERROR(IF(H182="USD",E182*G182*PROY!$B$7,E182*G182),"")</f>
        <v/>
      </c>
    </row>
    <row r="183">
      <c r="B183" s="6">
        <f>IFERROR(VLOOKUP(A183,WBS!A$4:B$200,2,FALSE),"")</f>
        <v/>
      </c>
      <c r="I183" s="14">
        <f>IFERROR(IF(H183="USD",E183*G183*PROY!$B$7,E183*G183),"")</f>
        <v/>
      </c>
    </row>
    <row r="184">
      <c r="B184" s="6">
        <f>IFERROR(VLOOKUP(A184,WBS!A$4:B$200,2,FALSE),"")</f>
        <v/>
      </c>
      <c r="I184" s="14">
        <f>IFERROR(IF(H184="USD",E184*G184*PROY!$B$7,E184*G184),"")</f>
        <v/>
      </c>
    </row>
    <row r="185">
      <c r="B185" s="6">
        <f>IFERROR(VLOOKUP(A185,WBS!A$4:B$200,2,FALSE),"")</f>
        <v/>
      </c>
      <c r="I185" s="14">
        <f>IFERROR(IF(H185="USD",E185*G185*PROY!$B$7,E185*G185),"")</f>
        <v/>
      </c>
    </row>
    <row r="186">
      <c r="B186" s="6">
        <f>IFERROR(VLOOKUP(A186,WBS!A$4:B$200,2,FALSE),"")</f>
        <v/>
      </c>
      <c r="I186" s="14">
        <f>IFERROR(IF(H186="USD",E186*G186*PROY!$B$7,E186*G186),"")</f>
        <v/>
      </c>
    </row>
    <row r="187">
      <c r="B187" s="6">
        <f>IFERROR(VLOOKUP(A187,WBS!A$4:B$200,2,FALSE),"")</f>
        <v/>
      </c>
      <c r="I187" s="14">
        <f>IFERROR(IF(H187="USD",E187*G187*PROY!$B$7,E187*G187),"")</f>
        <v/>
      </c>
    </row>
    <row r="188">
      <c r="B188" s="6">
        <f>IFERROR(VLOOKUP(A188,WBS!A$4:B$200,2,FALSE),"")</f>
        <v/>
      </c>
      <c r="I188" s="14">
        <f>IFERROR(IF(H188="USD",E188*G188*PROY!$B$7,E188*G188),"")</f>
        <v/>
      </c>
    </row>
    <row r="189">
      <c r="B189" s="6">
        <f>IFERROR(VLOOKUP(A189,WBS!A$4:B$200,2,FALSE),"")</f>
        <v/>
      </c>
      <c r="I189" s="14">
        <f>IFERROR(IF(H189="USD",E189*G189*PROY!$B$7,E189*G189),"")</f>
        <v/>
      </c>
    </row>
    <row r="190">
      <c r="B190" s="6">
        <f>IFERROR(VLOOKUP(A190,WBS!A$4:B$200,2,FALSE),"")</f>
        <v/>
      </c>
      <c r="I190" s="14">
        <f>IFERROR(IF(H190="USD",E190*G190*PROY!$B$7,E190*G190),"")</f>
        <v/>
      </c>
    </row>
    <row r="191">
      <c r="B191" s="6">
        <f>IFERROR(VLOOKUP(A191,WBS!A$4:B$200,2,FALSE),"")</f>
        <v/>
      </c>
      <c r="I191" s="14">
        <f>IFERROR(IF(H191="USD",E191*G191*PROY!$B$7,E191*G191),"")</f>
        <v/>
      </c>
    </row>
    <row r="192">
      <c r="B192" s="6">
        <f>IFERROR(VLOOKUP(A192,WBS!A$4:B$200,2,FALSE),"")</f>
        <v/>
      </c>
      <c r="I192" s="14">
        <f>IFERROR(IF(H192="USD",E192*G192*PROY!$B$7,E192*G192),"")</f>
        <v/>
      </c>
    </row>
    <row r="193">
      <c r="B193" s="6">
        <f>IFERROR(VLOOKUP(A193,WBS!A$4:B$200,2,FALSE),"")</f>
        <v/>
      </c>
      <c r="I193" s="14">
        <f>IFERROR(IF(H193="USD",E193*G193*PROY!$B$7,E193*G193),"")</f>
        <v/>
      </c>
    </row>
    <row r="194">
      <c r="B194" s="6">
        <f>IFERROR(VLOOKUP(A194,WBS!A$4:B$200,2,FALSE),"")</f>
        <v/>
      </c>
      <c r="I194" s="14">
        <f>IFERROR(IF(H194="USD",E194*G194*PROY!$B$7,E194*G194),"")</f>
        <v/>
      </c>
    </row>
    <row r="195">
      <c r="B195" s="6">
        <f>IFERROR(VLOOKUP(A195,WBS!A$4:B$200,2,FALSE),"")</f>
        <v/>
      </c>
      <c r="I195" s="14">
        <f>IFERROR(IF(H195="USD",E195*G195*PROY!$B$7,E195*G195),"")</f>
        <v/>
      </c>
    </row>
    <row r="196">
      <c r="B196" s="6">
        <f>IFERROR(VLOOKUP(A196,WBS!A$4:B$200,2,FALSE),"")</f>
        <v/>
      </c>
      <c r="I196" s="14">
        <f>IFERROR(IF(H196="USD",E196*G196*PROY!$B$7,E196*G196),"")</f>
        <v/>
      </c>
    </row>
    <row r="197">
      <c r="B197" s="6">
        <f>IFERROR(VLOOKUP(A197,WBS!A$4:B$200,2,FALSE),"")</f>
        <v/>
      </c>
      <c r="I197" s="14">
        <f>IFERROR(IF(H197="USD",E197*G197*PROY!$B$7,E197*G197),"")</f>
        <v/>
      </c>
    </row>
    <row r="198">
      <c r="B198" s="6">
        <f>IFERROR(VLOOKUP(A198,WBS!A$4:B$200,2,FALSE),"")</f>
        <v/>
      </c>
      <c r="I198" s="14">
        <f>IFERROR(IF(H198="USD",E198*G198*PROY!$B$7,E198*G198),"")</f>
        <v/>
      </c>
    </row>
    <row r="199">
      <c r="B199" s="6">
        <f>IFERROR(VLOOKUP(A199,WBS!A$4:B$200,2,FALSE),"")</f>
        <v/>
      </c>
      <c r="I199" s="14">
        <f>IFERROR(IF(H199="USD",E199*G199*PROY!$B$7,E199*G199),"")</f>
        <v/>
      </c>
    </row>
  </sheetData>
  <dataValidations count="2">
    <dataValidation sqref="C4:C200" showDropDown="0" showInputMessage="0" showErrorMessage="0" allowBlank="1" type="list">
      <formula1>BD!$E$2:$E$10</formula1>
    </dataValidation>
    <dataValidation sqref="H4:H200" showDropDown="0" showInputMessage="0" showErrorMessage="0" allowBlank="0" type="list">
      <formula1>"MXN,USD"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4BD97"/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2" customWidth="1" min="3" max="3"/>
    <col width="16" customWidth="1" min="7" max="7"/>
    <col width="22" customWidth="1" min="9" max="9"/>
  </cols>
  <sheetData>
    <row r="1">
      <c r="A1" s="1" t="inlineStr">
        <is>
          <t>PASO 3.5 — DETALLE DE MAQUINARIA Y EQUIPO POR PARTIDA</t>
        </is>
      </c>
    </row>
    <row r="3" ht="30" customHeight="1">
      <c r="A3" s="2" t="inlineStr">
        <is>
          <t>Partida N°</t>
        </is>
      </c>
      <c r="B3" s="2" t="inlineStr">
        <is>
          <t>Partida WBS (Auto)</t>
        </is>
      </c>
      <c r="C3" s="2" t="inlineStr">
        <is>
          <t>Concepto Maquinaria / Equipo (Seleccionar ▼)</t>
        </is>
      </c>
      <c r="D3" s="2" t="inlineStr">
        <is>
          <t>Modelo / Capacidad</t>
        </is>
      </c>
      <c r="E3" s="2" t="inlineStr">
        <is>
          <t>Tiempo</t>
        </is>
      </c>
      <c r="F3" s="2" t="inlineStr">
        <is>
          <t>Unidad</t>
        </is>
      </c>
      <c r="G3" s="2" t="inlineStr">
        <is>
          <t>Costo Unitario</t>
        </is>
      </c>
      <c r="H3" s="2" t="inlineStr">
        <is>
          <t>Moneda</t>
        </is>
      </c>
      <c r="I3" s="2" t="inlineStr">
        <is>
          <t>Importe Total MXN</t>
        </is>
      </c>
    </row>
    <row r="4">
      <c r="A4" s="5" t="n">
        <v>1</v>
      </c>
      <c r="B4" s="6">
        <f>IFERROR(VLOOKUP(A4,WBS!A$4:B$200,2,FALSE),"")</f>
        <v/>
      </c>
      <c r="C4" s="3" t="inlineStr">
        <is>
          <t>Combustibles de Camionetas y Maquinaria</t>
        </is>
      </c>
      <c r="D4" t="inlineStr">
        <is>
          <t>—</t>
        </is>
      </c>
      <c r="E4" t="n">
        <v>5</v>
      </c>
      <c r="F4" t="inlineStr">
        <is>
          <t>DÍA</t>
        </is>
      </c>
      <c r="G4" s="7" t="n">
        <v>1500</v>
      </c>
      <c r="H4" s="5" t="inlineStr">
        <is>
          <t>MXN</t>
        </is>
      </c>
      <c r="I4" s="12">
        <f>IF(H4="USD",E4*G4*PROY!$B$7,E4*G4)</f>
        <v/>
      </c>
    </row>
    <row r="5">
      <c r="B5" s="6">
        <f>IFERROR(VLOOKUP(A5,WBS!A$4:B$200,2,FALSE),"")</f>
        <v/>
      </c>
      <c r="I5" s="14">
        <f>IFERROR(IF(H5="USD",E5*G5*PROY!$B$7,E5*G5),"")</f>
        <v/>
      </c>
    </row>
    <row r="6">
      <c r="B6" s="6">
        <f>IFERROR(VLOOKUP(A6,WBS!A$4:B$200,2,FALSE),"")</f>
        <v/>
      </c>
      <c r="I6" s="14">
        <f>IFERROR(IF(H6="USD",E6*G6*PROY!$B$7,E6*G6),"")</f>
        <v/>
      </c>
    </row>
    <row r="7">
      <c r="B7" s="6">
        <f>IFERROR(VLOOKUP(A7,WBS!A$4:B$200,2,FALSE),"")</f>
        <v/>
      </c>
      <c r="I7" s="14">
        <f>IFERROR(IF(H7="USD",E7*G7*PROY!$B$7,E7*G7),"")</f>
        <v/>
      </c>
    </row>
    <row r="8">
      <c r="B8" s="6">
        <f>IFERROR(VLOOKUP(A8,WBS!A$4:B$200,2,FALSE),"")</f>
        <v/>
      </c>
      <c r="I8" s="14">
        <f>IFERROR(IF(H8="USD",E8*G8*PROY!$B$7,E8*G8),"")</f>
        <v/>
      </c>
    </row>
    <row r="9">
      <c r="B9" s="6">
        <f>IFERROR(VLOOKUP(A9,WBS!A$4:B$200,2,FALSE),"")</f>
        <v/>
      </c>
      <c r="I9" s="14">
        <f>IFERROR(IF(H9="USD",E9*G9*PROY!$B$7,E9*G9),"")</f>
        <v/>
      </c>
    </row>
    <row r="10">
      <c r="B10" s="6">
        <f>IFERROR(VLOOKUP(A10,WBS!A$4:B$200,2,FALSE),"")</f>
        <v/>
      </c>
      <c r="I10" s="14">
        <f>IFERROR(IF(H10="USD",E10*G10*PROY!$B$7,E10*G10),"")</f>
        <v/>
      </c>
    </row>
    <row r="11">
      <c r="B11" s="6">
        <f>IFERROR(VLOOKUP(A11,WBS!A$4:B$200,2,FALSE),"")</f>
        <v/>
      </c>
      <c r="I11" s="14">
        <f>IFERROR(IF(H11="USD",E11*G11*PROY!$B$7,E11*G11),"")</f>
        <v/>
      </c>
    </row>
    <row r="12">
      <c r="B12" s="6">
        <f>IFERROR(VLOOKUP(A12,WBS!A$4:B$200,2,FALSE),"")</f>
        <v/>
      </c>
      <c r="I12" s="14">
        <f>IFERROR(IF(H12="USD",E12*G12*PROY!$B$7,E12*G12),"")</f>
        <v/>
      </c>
    </row>
    <row r="13">
      <c r="B13" s="6">
        <f>IFERROR(VLOOKUP(A13,WBS!A$4:B$200,2,FALSE),"")</f>
        <v/>
      </c>
      <c r="I13" s="14">
        <f>IFERROR(IF(H13="USD",E13*G13*PROY!$B$7,E13*G13),"")</f>
        <v/>
      </c>
    </row>
    <row r="14">
      <c r="B14" s="6">
        <f>IFERROR(VLOOKUP(A14,WBS!A$4:B$200,2,FALSE),"")</f>
        <v/>
      </c>
      <c r="I14" s="14">
        <f>IFERROR(IF(H14="USD",E14*G14*PROY!$B$7,E14*G14),"")</f>
        <v/>
      </c>
    </row>
    <row r="15">
      <c r="B15" s="6">
        <f>IFERROR(VLOOKUP(A15,WBS!A$4:B$200,2,FALSE),"")</f>
        <v/>
      </c>
      <c r="I15" s="14">
        <f>IFERROR(IF(H15="USD",E15*G15*PROY!$B$7,E15*G15),"")</f>
        <v/>
      </c>
    </row>
    <row r="16">
      <c r="B16" s="6">
        <f>IFERROR(VLOOKUP(A16,WBS!A$4:B$200,2,FALSE),"")</f>
        <v/>
      </c>
      <c r="I16" s="14">
        <f>IFERROR(IF(H16="USD",E16*G16*PROY!$B$7,E16*G16),"")</f>
        <v/>
      </c>
    </row>
    <row r="17">
      <c r="B17" s="6">
        <f>IFERROR(VLOOKUP(A17,WBS!A$4:B$200,2,FALSE),"")</f>
        <v/>
      </c>
      <c r="I17" s="14">
        <f>IFERROR(IF(H17="USD",E17*G17*PROY!$B$7,E17*G17),"")</f>
        <v/>
      </c>
    </row>
    <row r="18">
      <c r="B18" s="6">
        <f>IFERROR(VLOOKUP(A18,WBS!A$4:B$200,2,FALSE),"")</f>
        <v/>
      </c>
      <c r="I18" s="14">
        <f>IFERROR(IF(H18="USD",E18*G18*PROY!$B$7,E18*G18),"")</f>
        <v/>
      </c>
    </row>
    <row r="19">
      <c r="B19" s="6">
        <f>IFERROR(VLOOKUP(A19,WBS!A$4:B$200,2,FALSE),"")</f>
        <v/>
      </c>
      <c r="I19" s="14">
        <f>IFERROR(IF(H19="USD",E19*G19*PROY!$B$7,E19*G19),"")</f>
        <v/>
      </c>
    </row>
    <row r="20">
      <c r="B20" s="6">
        <f>IFERROR(VLOOKUP(A20,WBS!A$4:B$200,2,FALSE),"")</f>
        <v/>
      </c>
      <c r="I20" s="14">
        <f>IFERROR(IF(H20="USD",E20*G20*PROY!$B$7,E20*G20),"")</f>
        <v/>
      </c>
    </row>
    <row r="21">
      <c r="B21" s="6">
        <f>IFERROR(VLOOKUP(A21,WBS!A$4:B$200,2,FALSE),"")</f>
        <v/>
      </c>
      <c r="I21" s="14">
        <f>IFERROR(IF(H21="USD",E21*G21*PROY!$B$7,E21*G21),"")</f>
        <v/>
      </c>
    </row>
    <row r="22">
      <c r="B22" s="6">
        <f>IFERROR(VLOOKUP(A22,WBS!A$4:B$200,2,FALSE),"")</f>
        <v/>
      </c>
      <c r="I22" s="14">
        <f>IFERROR(IF(H22="USD",E22*G22*PROY!$B$7,E22*G22),"")</f>
        <v/>
      </c>
    </row>
    <row r="23">
      <c r="B23" s="6">
        <f>IFERROR(VLOOKUP(A23,WBS!A$4:B$200,2,FALSE),"")</f>
        <v/>
      </c>
      <c r="I23" s="14">
        <f>IFERROR(IF(H23="USD",E23*G23*PROY!$B$7,E23*G23),"")</f>
        <v/>
      </c>
    </row>
    <row r="24">
      <c r="B24" s="6">
        <f>IFERROR(VLOOKUP(A24,WBS!A$4:B$200,2,FALSE),"")</f>
        <v/>
      </c>
      <c r="I24" s="14">
        <f>IFERROR(IF(H24="USD",E24*G24*PROY!$B$7,E24*G24),"")</f>
        <v/>
      </c>
    </row>
    <row r="25">
      <c r="B25" s="6">
        <f>IFERROR(VLOOKUP(A25,WBS!A$4:B$200,2,FALSE),"")</f>
        <v/>
      </c>
      <c r="I25" s="14">
        <f>IFERROR(IF(H25="USD",E25*G25*PROY!$B$7,E25*G25),"")</f>
        <v/>
      </c>
    </row>
    <row r="26">
      <c r="B26" s="6">
        <f>IFERROR(VLOOKUP(A26,WBS!A$4:B$200,2,FALSE),"")</f>
        <v/>
      </c>
      <c r="I26" s="14">
        <f>IFERROR(IF(H26="USD",E26*G26*PROY!$B$7,E26*G26),"")</f>
        <v/>
      </c>
    </row>
    <row r="27">
      <c r="B27" s="6">
        <f>IFERROR(VLOOKUP(A27,WBS!A$4:B$200,2,FALSE),"")</f>
        <v/>
      </c>
      <c r="I27" s="14">
        <f>IFERROR(IF(H27="USD",E27*G27*PROY!$B$7,E27*G27),"")</f>
        <v/>
      </c>
    </row>
    <row r="28">
      <c r="B28" s="6">
        <f>IFERROR(VLOOKUP(A28,WBS!A$4:B$200,2,FALSE),"")</f>
        <v/>
      </c>
      <c r="I28" s="14">
        <f>IFERROR(IF(H28="USD",E28*G28*PROY!$B$7,E28*G28),"")</f>
        <v/>
      </c>
    </row>
    <row r="29">
      <c r="B29" s="6">
        <f>IFERROR(VLOOKUP(A29,WBS!A$4:B$200,2,FALSE),"")</f>
        <v/>
      </c>
      <c r="I29" s="14">
        <f>IFERROR(IF(H29="USD",E29*G29*PROY!$B$7,E29*G29),"")</f>
        <v/>
      </c>
    </row>
    <row r="30">
      <c r="B30" s="6">
        <f>IFERROR(VLOOKUP(A30,WBS!A$4:B$200,2,FALSE),"")</f>
        <v/>
      </c>
      <c r="I30" s="14">
        <f>IFERROR(IF(H30="USD",E30*G30*PROY!$B$7,E30*G30),"")</f>
        <v/>
      </c>
    </row>
    <row r="31">
      <c r="B31" s="6">
        <f>IFERROR(VLOOKUP(A31,WBS!A$4:B$200,2,FALSE),"")</f>
        <v/>
      </c>
      <c r="I31" s="14">
        <f>IFERROR(IF(H31="USD",E31*G31*PROY!$B$7,E31*G31),"")</f>
        <v/>
      </c>
    </row>
    <row r="32">
      <c r="B32" s="6">
        <f>IFERROR(VLOOKUP(A32,WBS!A$4:B$200,2,FALSE),"")</f>
        <v/>
      </c>
      <c r="I32" s="14">
        <f>IFERROR(IF(H32="USD",E32*G32*PROY!$B$7,E32*G32),"")</f>
        <v/>
      </c>
    </row>
    <row r="33">
      <c r="B33" s="6">
        <f>IFERROR(VLOOKUP(A33,WBS!A$4:B$200,2,FALSE),"")</f>
        <v/>
      </c>
      <c r="I33" s="14">
        <f>IFERROR(IF(H33="USD",E33*G33*PROY!$B$7,E33*G33),"")</f>
        <v/>
      </c>
    </row>
    <row r="34">
      <c r="B34" s="6">
        <f>IFERROR(VLOOKUP(A34,WBS!A$4:B$200,2,FALSE),"")</f>
        <v/>
      </c>
      <c r="I34" s="14">
        <f>IFERROR(IF(H34="USD",E34*G34*PROY!$B$7,E34*G34),"")</f>
        <v/>
      </c>
    </row>
    <row r="35">
      <c r="B35" s="6">
        <f>IFERROR(VLOOKUP(A35,WBS!A$4:B$200,2,FALSE),"")</f>
        <v/>
      </c>
      <c r="I35" s="14">
        <f>IFERROR(IF(H35="USD",E35*G35*PROY!$B$7,E35*G35),"")</f>
        <v/>
      </c>
    </row>
    <row r="36">
      <c r="B36" s="6">
        <f>IFERROR(VLOOKUP(A36,WBS!A$4:B$200,2,FALSE),"")</f>
        <v/>
      </c>
      <c r="I36" s="14">
        <f>IFERROR(IF(H36="USD",E36*G36*PROY!$B$7,E36*G36),"")</f>
        <v/>
      </c>
    </row>
    <row r="37">
      <c r="B37" s="6">
        <f>IFERROR(VLOOKUP(A37,WBS!A$4:B$200,2,FALSE),"")</f>
        <v/>
      </c>
      <c r="I37" s="14">
        <f>IFERROR(IF(H37="USD",E37*G37*PROY!$B$7,E37*G37),"")</f>
        <v/>
      </c>
    </row>
    <row r="38">
      <c r="B38" s="6">
        <f>IFERROR(VLOOKUP(A38,WBS!A$4:B$200,2,FALSE),"")</f>
        <v/>
      </c>
      <c r="I38" s="14">
        <f>IFERROR(IF(H38="USD",E38*G38*PROY!$B$7,E38*G38),"")</f>
        <v/>
      </c>
    </row>
    <row r="39">
      <c r="B39" s="6">
        <f>IFERROR(VLOOKUP(A39,WBS!A$4:B$200,2,FALSE),"")</f>
        <v/>
      </c>
      <c r="I39" s="14">
        <f>IFERROR(IF(H39="USD",E39*G39*PROY!$B$7,E39*G39),"")</f>
        <v/>
      </c>
    </row>
    <row r="40">
      <c r="B40" s="6">
        <f>IFERROR(VLOOKUP(A40,WBS!A$4:B$200,2,FALSE),"")</f>
        <v/>
      </c>
      <c r="I40" s="14">
        <f>IFERROR(IF(H40="USD",E40*G40*PROY!$B$7,E40*G40),"")</f>
        <v/>
      </c>
    </row>
    <row r="41">
      <c r="B41" s="6">
        <f>IFERROR(VLOOKUP(A41,WBS!A$4:B$200,2,FALSE),"")</f>
        <v/>
      </c>
      <c r="I41" s="14">
        <f>IFERROR(IF(H41="USD",E41*G41*PROY!$B$7,E41*G41),"")</f>
        <v/>
      </c>
    </row>
    <row r="42">
      <c r="B42" s="6">
        <f>IFERROR(VLOOKUP(A42,WBS!A$4:B$200,2,FALSE),"")</f>
        <v/>
      </c>
      <c r="I42" s="14">
        <f>IFERROR(IF(H42="USD",E42*G42*PROY!$B$7,E42*G42),"")</f>
        <v/>
      </c>
    </row>
    <row r="43">
      <c r="B43" s="6">
        <f>IFERROR(VLOOKUP(A43,WBS!A$4:B$200,2,FALSE),"")</f>
        <v/>
      </c>
      <c r="I43" s="14">
        <f>IFERROR(IF(H43="USD",E43*G43*PROY!$B$7,E43*G43),"")</f>
        <v/>
      </c>
    </row>
    <row r="44">
      <c r="B44" s="6">
        <f>IFERROR(VLOOKUP(A44,WBS!A$4:B$200,2,FALSE),"")</f>
        <v/>
      </c>
      <c r="I44" s="14">
        <f>IFERROR(IF(H44="USD",E44*G44*PROY!$B$7,E44*G44),"")</f>
        <v/>
      </c>
    </row>
    <row r="45">
      <c r="B45" s="6">
        <f>IFERROR(VLOOKUP(A45,WBS!A$4:B$200,2,FALSE),"")</f>
        <v/>
      </c>
      <c r="I45" s="14">
        <f>IFERROR(IF(H45="USD",E45*G45*PROY!$B$7,E45*G45),"")</f>
        <v/>
      </c>
    </row>
    <row r="46">
      <c r="B46" s="6">
        <f>IFERROR(VLOOKUP(A46,WBS!A$4:B$200,2,FALSE),"")</f>
        <v/>
      </c>
      <c r="I46" s="14">
        <f>IFERROR(IF(H46="USD",E46*G46*PROY!$B$7,E46*G46),"")</f>
        <v/>
      </c>
    </row>
    <row r="47">
      <c r="B47" s="6">
        <f>IFERROR(VLOOKUP(A47,WBS!A$4:B$200,2,FALSE),"")</f>
        <v/>
      </c>
      <c r="I47" s="14">
        <f>IFERROR(IF(H47="USD",E47*G47*PROY!$B$7,E47*G47),"")</f>
        <v/>
      </c>
    </row>
    <row r="48">
      <c r="B48" s="6">
        <f>IFERROR(VLOOKUP(A48,WBS!A$4:B$200,2,FALSE),"")</f>
        <v/>
      </c>
      <c r="I48" s="14">
        <f>IFERROR(IF(H48="USD",E48*G48*PROY!$B$7,E48*G48),"")</f>
        <v/>
      </c>
    </row>
    <row r="49">
      <c r="B49" s="6">
        <f>IFERROR(VLOOKUP(A49,WBS!A$4:B$200,2,FALSE),"")</f>
        <v/>
      </c>
      <c r="I49" s="14">
        <f>IFERROR(IF(H49="USD",E49*G49*PROY!$B$7,E49*G49),"")</f>
        <v/>
      </c>
    </row>
    <row r="50">
      <c r="B50" s="6">
        <f>IFERROR(VLOOKUP(A50,WBS!A$4:B$200,2,FALSE),"")</f>
        <v/>
      </c>
      <c r="I50" s="14">
        <f>IFERROR(IF(H50="USD",E50*G50*PROY!$B$7,E50*G50),"")</f>
        <v/>
      </c>
    </row>
    <row r="51">
      <c r="B51" s="6">
        <f>IFERROR(VLOOKUP(A51,WBS!A$4:B$200,2,FALSE),"")</f>
        <v/>
      </c>
      <c r="I51" s="14">
        <f>IFERROR(IF(H51="USD",E51*G51*PROY!$B$7,E51*G51),"")</f>
        <v/>
      </c>
    </row>
    <row r="52">
      <c r="B52" s="6">
        <f>IFERROR(VLOOKUP(A52,WBS!A$4:B$200,2,FALSE),"")</f>
        <v/>
      </c>
      <c r="I52" s="14">
        <f>IFERROR(IF(H52="USD",E52*G52*PROY!$B$7,E52*G52),"")</f>
        <v/>
      </c>
    </row>
    <row r="53">
      <c r="B53" s="6">
        <f>IFERROR(VLOOKUP(A53,WBS!A$4:B$200,2,FALSE),"")</f>
        <v/>
      </c>
      <c r="I53" s="14">
        <f>IFERROR(IF(H53="USD",E53*G53*PROY!$B$7,E53*G53),"")</f>
        <v/>
      </c>
    </row>
    <row r="54">
      <c r="B54" s="6">
        <f>IFERROR(VLOOKUP(A54,WBS!A$4:B$200,2,FALSE),"")</f>
        <v/>
      </c>
      <c r="I54" s="14">
        <f>IFERROR(IF(H54="USD",E54*G54*PROY!$B$7,E54*G54),"")</f>
        <v/>
      </c>
    </row>
    <row r="55">
      <c r="B55" s="6">
        <f>IFERROR(VLOOKUP(A55,WBS!A$4:B$200,2,FALSE),"")</f>
        <v/>
      </c>
      <c r="I55" s="14">
        <f>IFERROR(IF(H55="USD",E55*G55*PROY!$B$7,E55*G55),"")</f>
        <v/>
      </c>
    </row>
    <row r="56">
      <c r="B56" s="6">
        <f>IFERROR(VLOOKUP(A56,WBS!A$4:B$200,2,FALSE),"")</f>
        <v/>
      </c>
      <c r="I56" s="14">
        <f>IFERROR(IF(H56="USD",E56*G56*PROY!$B$7,E56*G56),"")</f>
        <v/>
      </c>
    </row>
    <row r="57">
      <c r="B57" s="6">
        <f>IFERROR(VLOOKUP(A57,WBS!A$4:B$200,2,FALSE),"")</f>
        <v/>
      </c>
      <c r="I57" s="14">
        <f>IFERROR(IF(H57="USD",E57*G57*PROY!$B$7,E57*G57),"")</f>
        <v/>
      </c>
    </row>
    <row r="58">
      <c r="B58" s="6">
        <f>IFERROR(VLOOKUP(A58,WBS!A$4:B$200,2,FALSE),"")</f>
        <v/>
      </c>
      <c r="I58" s="14">
        <f>IFERROR(IF(H58="USD",E58*G58*PROY!$B$7,E58*G58),"")</f>
        <v/>
      </c>
    </row>
    <row r="59">
      <c r="B59" s="6">
        <f>IFERROR(VLOOKUP(A59,WBS!A$4:B$200,2,FALSE),"")</f>
        <v/>
      </c>
      <c r="I59" s="14">
        <f>IFERROR(IF(H59="USD",E59*G59*PROY!$B$7,E59*G59),"")</f>
        <v/>
      </c>
    </row>
    <row r="60">
      <c r="B60" s="6">
        <f>IFERROR(VLOOKUP(A60,WBS!A$4:B$200,2,FALSE),"")</f>
        <v/>
      </c>
      <c r="I60" s="14">
        <f>IFERROR(IF(H60="USD",E60*G60*PROY!$B$7,E60*G60),"")</f>
        <v/>
      </c>
    </row>
    <row r="61">
      <c r="B61" s="6">
        <f>IFERROR(VLOOKUP(A61,WBS!A$4:B$200,2,FALSE),"")</f>
        <v/>
      </c>
      <c r="I61" s="14">
        <f>IFERROR(IF(H61="USD",E61*G61*PROY!$B$7,E61*G61),"")</f>
        <v/>
      </c>
    </row>
    <row r="62">
      <c r="B62" s="6">
        <f>IFERROR(VLOOKUP(A62,WBS!A$4:B$200,2,FALSE),"")</f>
        <v/>
      </c>
      <c r="I62" s="14">
        <f>IFERROR(IF(H62="USD",E62*G62*PROY!$B$7,E62*G62),"")</f>
        <v/>
      </c>
    </row>
    <row r="63">
      <c r="B63" s="6">
        <f>IFERROR(VLOOKUP(A63,WBS!A$4:B$200,2,FALSE),"")</f>
        <v/>
      </c>
      <c r="I63" s="14">
        <f>IFERROR(IF(H63="USD",E63*G63*PROY!$B$7,E63*G63),"")</f>
        <v/>
      </c>
    </row>
    <row r="64">
      <c r="B64" s="6">
        <f>IFERROR(VLOOKUP(A64,WBS!A$4:B$200,2,FALSE),"")</f>
        <v/>
      </c>
      <c r="I64" s="14">
        <f>IFERROR(IF(H64="USD",E64*G64*PROY!$B$7,E64*G64),"")</f>
        <v/>
      </c>
    </row>
    <row r="65">
      <c r="B65" s="6">
        <f>IFERROR(VLOOKUP(A65,WBS!A$4:B$200,2,FALSE),"")</f>
        <v/>
      </c>
      <c r="I65" s="14">
        <f>IFERROR(IF(H65="USD",E65*G65*PROY!$B$7,E65*G65),"")</f>
        <v/>
      </c>
    </row>
    <row r="66">
      <c r="B66" s="6">
        <f>IFERROR(VLOOKUP(A66,WBS!A$4:B$200,2,FALSE),"")</f>
        <v/>
      </c>
      <c r="I66" s="14">
        <f>IFERROR(IF(H66="USD",E66*G66*PROY!$B$7,E66*G66),"")</f>
        <v/>
      </c>
    </row>
    <row r="67">
      <c r="B67" s="6">
        <f>IFERROR(VLOOKUP(A67,WBS!A$4:B$200,2,FALSE),"")</f>
        <v/>
      </c>
      <c r="I67" s="14">
        <f>IFERROR(IF(H67="USD",E67*G67*PROY!$B$7,E67*G67),"")</f>
        <v/>
      </c>
    </row>
    <row r="68">
      <c r="B68" s="6">
        <f>IFERROR(VLOOKUP(A68,WBS!A$4:B$200,2,FALSE),"")</f>
        <v/>
      </c>
      <c r="I68" s="14">
        <f>IFERROR(IF(H68="USD",E68*G68*PROY!$B$7,E68*G68),"")</f>
        <v/>
      </c>
    </row>
    <row r="69">
      <c r="B69" s="6">
        <f>IFERROR(VLOOKUP(A69,WBS!A$4:B$200,2,FALSE),"")</f>
        <v/>
      </c>
      <c r="I69" s="14">
        <f>IFERROR(IF(H69="USD",E69*G69*PROY!$B$7,E69*G69),"")</f>
        <v/>
      </c>
    </row>
    <row r="70">
      <c r="B70" s="6">
        <f>IFERROR(VLOOKUP(A70,WBS!A$4:B$200,2,FALSE),"")</f>
        <v/>
      </c>
      <c r="I70" s="14">
        <f>IFERROR(IF(H70="USD",E70*G70*PROY!$B$7,E70*G70),"")</f>
        <v/>
      </c>
    </row>
    <row r="71">
      <c r="B71" s="6">
        <f>IFERROR(VLOOKUP(A71,WBS!A$4:B$200,2,FALSE),"")</f>
        <v/>
      </c>
      <c r="I71" s="14">
        <f>IFERROR(IF(H71="USD",E71*G71*PROY!$B$7,E71*G71),"")</f>
        <v/>
      </c>
    </row>
    <row r="72">
      <c r="B72" s="6">
        <f>IFERROR(VLOOKUP(A72,WBS!A$4:B$200,2,FALSE),"")</f>
        <v/>
      </c>
      <c r="I72" s="14">
        <f>IFERROR(IF(H72="USD",E72*G72*PROY!$B$7,E72*G72),"")</f>
        <v/>
      </c>
    </row>
    <row r="73">
      <c r="B73" s="6">
        <f>IFERROR(VLOOKUP(A73,WBS!A$4:B$200,2,FALSE),"")</f>
        <v/>
      </c>
      <c r="I73" s="14">
        <f>IFERROR(IF(H73="USD",E73*G73*PROY!$B$7,E73*G73),"")</f>
        <v/>
      </c>
    </row>
    <row r="74">
      <c r="B74" s="6">
        <f>IFERROR(VLOOKUP(A74,WBS!A$4:B$200,2,FALSE),"")</f>
        <v/>
      </c>
      <c r="I74" s="14">
        <f>IFERROR(IF(H74="USD",E74*G74*PROY!$B$7,E74*G74),"")</f>
        <v/>
      </c>
    </row>
    <row r="75">
      <c r="B75" s="6">
        <f>IFERROR(VLOOKUP(A75,WBS!A$4:B$200,2,FALSE),"")</f>
        <v/>
      </c>
      <c r="I75" s="14">
        <f>IFERROR(IF(H75="USD",E75*G75*PROY!$B$7,E75*G75),"")</f>
        <v/>
      </c>
    </row>
    <row r="76">
      <c r="B76" s="6">
        <f>IFERROR(VLOOKUP(A76,WBS!A$4:B$200,2,FALSE),"")</f>
        <v/>
      </c>
      <c r="I76" s="14">
        <f>IFERROR(IF(H76="USD",E76*G76*PROY!$B$7,E76*G76),"")</f>
        <v/>
      </c>
    </row>
    <row r="77">
      <c r="B77" s="6">
        <f>IFERROR(VLOOKUP(A77,WBS!A$4:B$200,2,FALSE),"")</f>
        <v/>
      </c>
      <c r="I77" s="14">
        <f>IFERROR(IF(H77="USD",E77*G77*PROY!$B$7,E77*G77),"")</f>
        <v/>
      </c>
    </row>
    <row r="78">
      <c r="B78" s="6">
        <f>IFERROR(VLOOKUP(A78,WBS!A$4:B$200,2,FALSE),"")</f>
        <v/>
      </c>
      <c r="I78" s="14">
        <f>IFERROR(IF(H78="USD",E78*G78*PROY!$B$7,E78*G78),"")</f>
        <v/>
      </c>
    </row>
    <row r="79">
      <c r="B79" s="6">
        <f>IFERROR(VLOOKUP(A79,WBS!A$4:B$200,2,FALSE),"")</f>
        <v/>
      </c>
      <c r="I79" s="14">
        <f>IFERROR(IF(H79="USD",E79*G79*PROY!$B$7,E79*G79),"")</f>
        <v/>
      </c>
    </row>
    <row r="80">
      <c r="B80" s="6">
        <f>IFERROR(VLOOKUP(A80,WBS!A$4:B$200,2,FALSE),"")</f>
        <v/>
      </c>
      <c r="I80" s="14">
        <f>IFERROR(IF(H80="USD",E80*G80*PROY!$B$7,E80*G80),"")</f>
        <v/>
      </c>
    </row>
    <row r="81">
      <c r="B81" s="6">
        <f>IFERROR(VLOOKUP(A81,WBS!A$4:B$200,2,FALSE),"")</f>
        <v/>
      </c>
      <c r="I81" s="14">
        <f>IFERROR(IF(H81="USD",E81*G81*PROY!$B$7,E81*G81),"")</f>
        <v/>
      </c>
    </row>
    <row r="82">
      <c r="B82" s="6">
        <f>IFERROR(VLOOKUP(A82,WBS!A$4:B$200,2,FALSE),"")</f>
        <v/>
      </c>
      <c r="I82" s="14">
        <f>IFERROR(IF(H82="USD",E82*G82*PROY!$B$7,E82*G82),"")</f>
        <v/>
      </c>
    </row>
    <row r="83">
      <c r="B83" s="6">
        <f>IFERROR(VLOOKUP(A83,WBS!A$4:B$200,2,FALSE),"")</f>
        <v/>
      </c>
      <c r="I83" s="14">
        <f>IFERROR(IF(H83="USD",E83*G83*PROY!$B$7,E83*G83),"")</f>
        <v/>
      </c>
    </row>
    <row r="84">
      <c r="B84" s="6">
        <f>IFERROR(VLOOKUP(A84,WBS!A$4:B$200,2,FALSE),"")</f>
        <v/>
      </c>
      <c r="I84" s="14">
        <f>IFERROR(IF(H84="USD",E84*G84*PROY!$B$7,E84*G84),"")</f>
        <v/>
      </c>
    </row>
    <row r="85">
      <c r="B85" s="6">
        <f>IFERROR(VLOOKUP(A85,WBS!A$4:B$200,2,FALSE),"")</f>
        <v/>
      </c>
      <c r="I85" s="14">
        <f>IFERROR(IF(H85="USD",E85*G85*PROY!$B$7,E85*G85),"")</f>
        <v/>
      </c>
    </row>
    <row r="86">
      <c r="B86" s="6">
        <f>IFERROR(VLOOKUP(A86,WBS!A$4:B$200,2,FALSE),"")</f>
        <v/>
      </c>
      <c r="I86" s="14">
        <f>IFERROR(IF(H86="USD",E86*G86*PROY!$B$7,E86*G86),"")</f>
        <v/>
      </c>
    </row>
    <row r="87">
      <c r="B87" s="6">
        <f>IFERROR(VLOOKUP(A87,WBS!A$4:B$200,2,FALSE),"")</f>
        <v/>
      </c>
      <c r="I87" s="14">
        <f>IFERROR(IF(H87="USD",E87*G87*PROY!$B$7,E87*G87),"")</f>
        <v/>
      </c>
    </row>
    <row r="88">
      <c r="B88" s="6">
        <f>IFERROR(VLOOKUP(A88,WBS!A$4:B$200,2,FALSE),"")</f>
        <v/>
      </c>
      <c r="I88" s="14">
        <f>IFERROR(IF(H88="USD",E88*G88*PROY!$B$7,E88*G88),"")</f>
        <v/>
      </c>
    </row>
    <row r="89">
      <c r="B89" s="6">
        <f>IFERROR(VLOOKUP(A89,WBS!A$4:B$200,2,FALSE),"")</f>
        <v/>
      </c>
      <c r="I89" s="14">
        <f>IFERROR(IF(H89="USD",E89*G89*PROY!$B$7,E89*G89),"")</f>
        <v/>
      </c>
    </row>
    <row r="90">
      <c r="B90" s="6">
        <f>IFERROR(VLOOKUP(A90,WBS!A$4:B$200,2,FALSE),"")</f>
        <v/>
      </c>
      <c r="I90" s="14">
        <f>IFERROR(IF(H90="USD",E90*G90*PROY!$B$7,E90*G90),"")</f>
        <v/>
      </c>
    </row>
    <row r="91">
      <c r="B91" s="6">
        <f>IFERROR(VLOOKUP(A91,WBS!A$4:B$200,2,FALSE),"")</f>
        <v/>
      </c>
      <c r="I91" s="14">
        <f>IFERROR(IF(H91="USD",E91*G91*PROY!$B$7,E91*G91),"")</f>
        <v/>
      </c>
    </row>
    <row r="92">
      <c r="B92" s="6">
        <f>IFERROR(VLOOKUP(A92,WBS!A$4:B$200,2,FALSE),"")</f>
        <v/>
      </c>
      <c r="I92" s="14">
        <f>IFERROR(IF(H92="USD",E92*G92*PROY!$B$7,E92*G92),"")</f>
        <v/>
      </c>
    </row>
    <row r="93">
      <c r="B93" s="6">
        <f>IFERROR(VLOOKUP(A93,WBS!A$4:B$200,2,FALSE),"")</f>
        <v/>
      </c>
      <c r="I93" s="14">
        <f>IFERROR(IF(H93="USD",E93*G93*PROY!$B$7,E93*G93),"")</f>
        <v/>
      </c>
    </row>
    <row r="94">
      <c r="B94" s="6">
        <f>IFERROR(VLOOKUP(A94,WBS!A$4:B$200,2,FALSE),"")</f>
        <v/>
      </c>
      <c r="I94" s="14">
        <f>IFERROR(IF(H94="USD",E94*G94*PROY!$B$7,E94*G94),"")</f>
        <v/>
      </c>
    </row>
    <row r="95">
      <c r="B95" s="6">
        <f>IFERROR(VLOOKUP(A95,WBS!A$4:B$200,2,FALSE),"")</f>
        <v/>
      </c>
      <c r="I95" s="14">
        <f>IFERROR(IF(H95="USD",E95*G95*PROY!$B$7,E95*G95),"")</f>
        <v/>
      </c>
    </row>
    <row r="96">
      <c r="B96" s="6">
        <f>IFERROR(VLOOKUP(A96,WBS!A$4:B$200,2,FALSE),"")</f>
        <v/>
      </c>
      <c r="I96" s="14">
        <f>IFERROR(IF(H96="USD",E96*G96*PROY!$B$7,E96*G96),"")</f>
        <v/>
      </c>
    </row>
    <row r="97">
      <c r="B97" s="6">
        <f>IFERROR(VLOOKUP(A97,WBS!A$4:B$200,2,FALSE),"")</f>
        <v/>
      </c>
      <c r="I97" s="14">
        <f>IFERROR(IF(H97="USD",E97*G97*PROY!$B$7,E97*G97),"")</f>
        <v/>
      </c>
    </row>
    <row r="98">
      <c r="B98" s="6">
        <f>IFERROR(VLOOKUP(A98,WBS!A$4:B$200,2,FALSE),"")</f>
        <v/>
      </c>
      <c r="I98" s="14">
        <f>IFERROR(IF(H98="USD",E98*G98*PROY!$B$7,E98*G98),"")</f>
        <v/>
      </c>
    </row>
    <row r="99">
      <c r="B99" s="6">
        <f>IFERROR(VLOOKUP(A99,WBS!A$4:B$200,2,FALSE),"")</f>
        <v/>
      </c>
      <c r="I99" s="14">
        <f>IFERROR(IF(H99="USD",E99*G99*PROY!$B$7,E99*G99),"")</f>
        <v/>
      </c>
    </row>
    <row r="100">
      <c r="B100" s="6">
        <f>IFERROR(VLOOKUP(A100,WBS!A$4:B$200,2,FALSE),"")</f>
        <v/>
      </c>
      <c r="I100" s="14">
        <f>IFERROR(IF(H100="USD",E100*G100*PROY!$B$7,E100*G100),"")</f>
        <v/>
      </c>
    </row>
    <row r="101">
      <c r="B101" s="6">
        <f>IFERROR(VLOOKUP(A101,WBS!A$4:B$200,2,FALSE),"")</f>
        <v/>
      </c>
      <c r="I101" s="14">
        <f>IFERROR(IF(H101="USD",E101*G101*PROY!$B$7,E101*G101),"")</f>
        <v/>
      </c>
    </row>
    <row r="102">
      <c r="B102" s="6">
        <f>IFERROR(VLOOKUP(A102,WBS!A$4:B$200,2,FALSE),"")</f>
        <v/>
      </c>
      <c r="I102" s="14">
        <f>IFERROR(IF(H102="USD",E102*G102*PROY!$B$7,E102*G102),"")</f>
        <v/>
      </c>
    </row>
    <row r="103">
      <c r="B103" s="6">
        <f>IFERROR(VLOOKUP(A103,WBS!A$4:B$200,2,FALSE),"")</f>
        <v/>
      </c>
      <c r="I103" s="14">
        <f>IFERROR(IF(H103="USD",E103*G103*PROY!$B$7,E103*G103),"")</f>
        <v/>
      </c>
    </row>
    <row r="104">
      <c r="B104" s="6">
        <f>IFERROR(VLOOKUP(A104,WBS!A$4:B$200,2,FALSE),"")</f>
        <v/>
      </c>
      <c r="I104" s="14">
        <f>IFERROR(IF(H104="USD",E104*G104*PROY!$B$7,E104*G104),"")</f>
        <v/>
      </c>
    </row>
    <row r="105">
      <c r="B105" s="6">
        <f>IFERROR(VLOOKUP(A105,WBS!A$4:B$200,2,FALSE),"")</f>
        <v/>
      </c>
      <c r="I105" s="14">
        <f>IFERROR(IF(H105="USD",E105*G105*PROY!$B$7,E105*G105),"")</f>
        <v/>
      </c>
    </row>
    <row r="106">
      <c r="B106" s="6">
        <f>IFERROR(VLOOKUP(A106,WBS!A$4:B$200,2,FALSE),"")</f>
        <v/>
      </c>
      <c r="I106" s="14">
        <f>IFERROR(IF(H106="USD",E106*G106*PROY!$B$7,E106*G106),"")</f>
        <v/>
      </c>
    </row>
    <row r="107">
      <c r="B107" s="6">
        <f>IFERROR(VLOOKUP(A107,WBS!A$4:B$200,2,FALSE),"")</f>
        <v/>
      </c>
      <c r="I107" s="14">
        <f>IFERROR(IF(H107="USD",E107*G107*PROY!$B$7,E107*G107),"")</f>
        <v/>
      </c>
    </row>
    <row r="108">
      <c r="B108" s="6">
        <f>IFERROR(VLOOKUP(A108,WBS!A$4:B$200,2,FALSE),"")</f>
        <v/>
      </c>
      <c r="I108" s="14">
        <f>IFERROR(IF(H108="USD",E108*G108*PROY!$B$7,E108*G108),"")</f>
        <v/>
      </c>
    </row>
    <row r="109">
      <c r="B109" s="6">
        <f>IFERROR(VLOOKUP(A109,WBS!A$4:B$200,2,FALSE),"")</f>
        <v/>
      </c>
      <c r="I109" s="14">
        <f>IFERROR(IF(H109="USD",E109*G109*PROY!$B$7,E109*G109),"")</f>
        <v/>
      </c>
    </row>
    <row r="110">
      <c r="B110" s="6">
        <f>IFERROR(VLOOKUP(A110,WBS!A$4:B$200,2,FALSE),"")</f>
        <v/>
      </c>
      <c r="I110" s="14">
        <f>IFERROR(IF(H110="USD",E110*G110*PROY!$B$7,E110*G110),"")</f>
        <v/>
      </c>
    </row>
    <row r="111">
      <c r="B111" s="6">
        <f>IFERROR(VLOOKUP(A111,WBS!A$4:B$200,2,FALSE),"")</f>
        <v/>
      </c>
      <c r="I111" s="14">
        <f>IFERROR(IF(H111="USD",E111*G111*PROY!$B$7,E111*G111),"")</f>
        <v/>
      </c>
    </row>
    <row r="112">
      <c r="B112" s="6">
        <f>IFERROR(VLOOKUP(A112,WBS!A$4:B$200,2,FALSE),"")</f>
        <v/>
      </c>
      <c r="I112" s="14">
        <f>IFERROR(IF(H112="USD",E112*G112*PROY!$B$7,E112*G112),"")</f>
        <v/>
      </c>
    </row>
    <row r="113">
      <c r="B113" s="6">
        <f>IFERROR(VLOOKUP(A113,WBS!A$4:B$200,2,FALSE),"")</f>
        <v/>
      </c>
      <c r="I113" s="14">
        <f>IFERROR(IF(H113="USD",E113*G113*PROY!$B$7,E113*G113),"")</f>
        <v/>
      </c>
    </row>
    <row r="114">
      <c r="B114" s="6">
        <f>IFERROR(VLOOKUP(A114,WBS!A$4:B$200,2,FALSE),"")</f>
        <v/>
      </c>
      <c r="I114" s="14">
        <f>IFERROR(IF(H114="USD",E114*G114*PROY!$B$7,E114*G114),"")</f>
        <v/>
      </c>
    </row>
    <row r="115">
      <c r="B115" s="6">
        <f>IFERROR(VLOOKUP(A115,WBS!A$4:B$200,2,FALSE),"")</f>
        <v/>
      </c>
      <c r="I115" s="14">
        <f>IFERROR(IF(H115="USD",E115*G115*PROY!$B$7,E115*G115),"")</f>
        <v/>
      </c>
    </row>
    <row r="116">
      <c r="B116" s="6">
        <f>IFERROR(VLOOKUP(A116,WBS!A$4:B$200,2,FALSE),"")</f>
        <v/>
      </c>
      <c r="I116" s="14">
        <f>IFERROR(IF(H116="USD",E116*G116*PROY!$B$7,E116*G116),"")</f>
        <v/>
      </c>
    </row>
    <row r="117">
      <c r="B117" s="6">
        <f>IFERROR(VLOOKUP(A117,WBS!A$4:B$200,2,FALSE),"")</f>
        <v/>
      </c>
      <c r="I117" s="14">
        <f>IFERROR(IF(H117="USD",E117*G117*PROY!$B$7,E117*G117),"")</f>
        <v/>
      </c>
    </row>
    <row r="118">
      <c r="B118" s="6">
        <f>IFERROR(VLOOKUP(A118,WBS!A$4:B$200,2,FALSE),"")</f>
        <v/>
      </c>
      <c r="I118" s="14">
        <f>IFERROR(IF(H118="USD",E118*G118*PROY!$B$7,E118*G118),"")</f>
        <v/>
      </c>
    </row>
    <row r="119">
      <c r="B119" s="6">
        <f>IFERROR(VLOOKUP(A119,WBS!A$4:B$200,2,FALSE),"")</f>
        <v/>
      </c>
      <c r="I119" s="14">
        <f>IFERROR(IF(H119="USD",E119*G119*PROY!$B$7,E119*G119),"")</f>
        <v/>
      </c>
    </row>
    <row r="120">
      <c r="B120" s="6">
        <f>IFERROR(VLOOKUP(A120,WBS!A$4:B$200,2,FALSE),"")</f>
        <v/>
      </c>
      <c r="I120" s="14">
        <f>IFERROR(IF(H120="USD",E120*G120*PROY!$B$7,E120*G120),"")</f>
        <v/>
      </c>
    </row>
    <row r="121">
      <c r="B121" s="6">
        <f>IFERROR(VLOOKUP(A121,WBS!A$4:B$200,2,FALSE),"")</f>
        <v/>
      </c>
      <c r="I121" s="14">
        <f>IFERROR(IF(H121="USD",E121*G121*PROY!$B$7,E121*G121),"")</f>
        <v/>
      </c>
    </row>
    <row r="122">
      <c r="B122" s="6">
        <f>IFERROR(VLOOKUP(A122,WBS!A$4:B$200,2,FALSE),"")</f>
        <v/>
      </c>
      <c r="I122" s="14">
        <f>IFERROR(IF(H122="USD",E122*G122*PROY!$B$7,E122*G122),"")</f>
        <v/>
      </c>
    </row>
    <row r="123">
      <c r="B123" s="6">
        <f>IFERROR(VLOOKUP(A123,WBS!A$4:B$200,2,FALSE),"")</f>
        <v/>
      </c>
      <c r="I123" s="14">
        <f>IFERROR(IF(H123="USD",E123*G123*PROY!$B$7,E123*G123),"")</f>
        <v/>
      </c>
    </row>
    <row r="124">
      <c r="B124" s="6">
        <f>IFERROR(VLOOKUP(A124,WBS!A$4:B$200,2,FALSE),"")</f>
        <v/>
      </c>
      <c r="I124" s="14">
        <f>IFERROR(IF(H124="USD",E124*G124*PROY!$B$7,E124*G124),"")</f>
        <v/>
      </c>
    </row>
    <row r="125">
      <c r="B125" s="6">
        <f>IFERROR(VLOOKUP(A125,WBS!A$4:B$200,2,FALSE),"")</f>
        <v/>
      </c>
      <c r="I125" s="14">
        <f>IFERROR(IF(H125="USD",E125*G125*PROY!$B$7,E125*G125),"")</f>
        <v/>
      </c>
    </row>
    <row r="126">
      <c r="B126" s="6">
        <f>IFERROR(VLOOKUP(A126,WBS!A$4:B$200,2,FALSE),"")</f>
        <v/>
      </c>
      <c r="I126" s="14">
        <f>IFERROR(IF(H126="USD",E126*G126*PROY!$B$7,E126*G126),"")</f>
        <v/>
      </c>
    </row>
    <row r="127">
      <c r="B127" s="6">
        <f>IFERROR(VLOOKUP(A127,WBS!A$4:B$200,2,FALSE),"")</f>
        <v/>
      </c>
      <c r="I127" s="14">
        <f>IFERROR(IF(H127="USD",E127*G127*PROY!$B$7,E127*G127),"")</f>
        <v/>
      </c>
    </row>
    <row r="128">
      <c r="B128" s="6">
        <f>IFERROR(VLOOKUP(A128,WBS!A$4:B$200,2,FALSE),"")</f>
        <v/>
      </c>
      <c r="I128" s="14">
        <f>IFERROR(IF(H128="USD",E128*G128*PROY!$B$7,E128*G128),"")</f>
        <v/>
      </c>
    </row>
    <row r="129">
      <c r="B129" s="6">
        <f>IFERROR(VLOOKUP(A129,WBS!A$4:B$200,2,FALSE),"")</f>
        <v/>
      </c>
      <c r="I129" s="14">
        <f>IFERROR(IF(H129="USD",E129*G129*PROY!$B$7,E129*G129),"")</f>
        <v/>
      </c>
    </row>
    <row r="130">
      <c r="B130" s="6">
        <f>IFERROR(VLOOKUP(A130,WBS!A$4:B$200,2,FALSE),"")</f>
        <v/>
      </c>
      <c r="I130" s="14">
        <f>IFERROR(IF(H130="USD",E130*G130*PROY!$B$7,E130*G130),"")</f>
        <v/>
      </c>
    </row>
    <row r="131">
      <c r="B131" s="6">
        <f>IFERROR(VLOOKUP(A131,WBS!A$4:B$200,2,FALSE),"")</f>
        <v/>
      </c>
      <c r="I131" s="14">
        <f>IFERROR(IF(H131="USD",E131*G131*PROY!$B$7,E131*G131),"")</f>
        <v/>
      </c>
    </row>
    <row r="132">
      <c r="B132" s="6">
        <f>IFERROR(VLOOKUP(A132,WBS!A$4:B$200,2,FALSE),"")</f>
        <v/>
      </c>
      <c r="I132" s="14">
        <f>IFERROR(IF(H132="USD",E132*G132*PROY!$B$7,E132*G132),"")</f>
        <v/>
      </c>
    </row>
    <row r="133">
      <c r="B133" s="6">
        <f>IFERROR(VLOOKUP(A133,WBS!A$4:B$200,2,FALSE),"")</f>
        <v/>
      </c>
      <c r="I133" s="14">
        <f>IFERROR(IF(H133="USD",E133*G133*PROY!$B$7,E133*G133),"")</f>
        <v/>
      </c>
    </row>
    <row r="134">
      <c r="B134" s="6">
        <f>IFERROR(VLOOKUP(A134,WBS!A$4:B$200,2,FALSE),"")</f>
        <v/>
      </c>
      <c r="I134" s="14">
        <f>IFERROR(IF(H134="USD",E134*G134*PROY!$B$7,E134*G134),"")</f>
        <v/>
      </c>
    </row>
    <row r="135">
      <c r="B135" s="6">
        <f>IFERROR(VLOOKUP(A135,WBS!A$4:B$200,2,FALSE),"")</f>
        <v/>
      </c>
      <c r="I135" s="14">
        <f>IFERROR(IF(H135="USD",E135*G135*PROY!$B$7,E135*G135),"")</f>
        <v/>
      </c>
    </row>
    <row r="136">
      <c r="B136" s="6">
        <f>IFERROR(VLOOKUP(A136,WBS!A$4:B$200,2,FALSE),"")</f>
        <v/>
      </c>
      <c r="I136" s="14">
        <f>IFERROR(IF(H136="USD",E136*G136*PROY!$B$7,E136*G136),"")</f>
        <v/>
      </c>
    </row>
    <row r="137">
      <c r="B137" s="6">
        <f>IFERROR(VLOOKUP(A137,WBS!A$4:B$200,2,FALSE),"")</f>
        <v/>
      </c>
      <c r="I137" s="14">
        <f>IFERROR(IF(H137="USD",E137*G137*PROY!$B$7,E137*G137),"")</f>
        <v/>
      </c>
    </row>
    <row r="138">
      <c r="B138" s="6">
        <f>IFERROR(VLOOKUP(A138,WBS!A$4:B$200,2,FALSE),"")</f>
        <v/>
      </c>
      <c r="I138" s="14">
        <f>IFERROR(IF(H138="USD",E138*G138*PROY!$B$7,E138*G138),"")</f>
        <v/>
      </c>
    </row>
    <row r="139">
      <c r="B139" s="6">
        <f>IFERROR(VLOOKUP(A139,WBS!A$4:B$200,2,FALSE),"")</f>
        <v/>
      </c>
      <c r="I139" s="14">
        <f>IFERROR(IF(H139="USD",E139*G139*PROY!$B$7,E139*G139),"")</f>
        <v/>
      </c>
    </row>
    <row r="140">
      <c r="B140" s="6">
        <f>IFERROR(VLOOKUP(A140,WBS!A$4:B$200,2,FALSE),"")</f>
        <v/>
      </c>
      <c r="I140" s="14">
        <f>IFERROR(IF(H140="USD",E140*G140*PROY!$B$7,E140*G140),"")</f>
        <v/>
      </c>
    </row>
    <row r="141">
      <c r="B141" s="6">
        <f>IFERROR(VLOOKUP(A141,WBS!A$4:B$200,2,FALSE),"")</f>
        <v/>
      </c>
      <c r="I141" s="14">
        <f>IFERROR(IF(H141="USD",E141*G141*PROY!$B$7,E141*G141),"")</f>
        <v/>
      </c>
    </row>
    <row r="142">
      <c r="B142" s="6">
        <f>IFERROR(VLOOKUP(A142,WBS!A$4:B$200,2,FALSE),"")</f>
        <v/>
      </c>
      <c r="I142" s="14">
        <f>IFERROR(IF(H142="USD",E142*G142*PROY!$B$7,E142*G142),"")</f>
        <v/>
      </c>
    </row>
    <row r="143">
      <c r="B143" s="6">
        <f>IFERROR(VLOOKUP(A143,WBS!A$4:B$200,2,FALSE),"")</f>
        <v/>
      </c>
      <c r="I143" s="14">
        <f>IFERROR(IF(H143="USD",E143*G143*PROY!$B$7,E143*G143),"")</f>
        <v/>
      </c>
    </row>
    <row r="144">
      <c r="B144" s="6">
        <f>IFERROR(VLOOKUP(A144,WBS!A$4:B$200,2,FALSE),"")</f>
        <v/>
      </c>
      <c r="I144" s="14">
        <f>IFERROR(IF(H144="USD",E144*G144*PROY!$B$7,E144*G144),"")</f>
        <v/>
      </c>
    </row>
    <row r="145">
      <c r="B145" s="6">
        <f>IFERROR(VLOOKUP(A145,WBS!A$4:B$200,2,FALSE),"")</f>
        <v/>
      </c>
      <c r="I145" s="14">
        <f>IFERROR(IF(H145="USD",E145*G145*PROY!$B$7,E145*G145),"")</f>
        <v/>
      </c>
    </row>
    <row r="146">
      <c r="B146" s="6">
        <f>IFERROR(VLOOKUP(A146,WBS!A$4:B$200,2,FALSE),"")</f>
        <v/>
      </c>
      <c r="I146" s="14">
        <f>IFERROR(IF(H146="USD",E146*G146*PROY!$B$7,E146*G146),"")</f>
        <v/>
      </c>
    </row>
    <row r="147">
      <c r="B147" s="6">
        <f>IFERROR(VLOOKUP(A147,WBS!A$4:B$200,2,FALSE),"")</f>
        <v/>
      </c>
      <c r="I147" s="14">
        <f>IFERROR(IF(H147="USD",E147*G147*PROY!$B$7,E147*G147),"")</f>
        <v/>
      </c>
    </row>
    <row r="148">
      <c r="B148" s="6">
        <f>IFERROR(VLOOKUP(A148,WBS!A$4:B$200,2,FALSE),"")</f>
        <v/>
      </c>
      <c r="I148" s="14">
        <f>IFERROR(IF(H148="USD",E148*G148*PROY!$B$7,E148*G148),"")</f>
        <v/>
      </c>
    </row>
    <row r="149">
      <c r="B149" s="6">
        <f>IFERROR(VLOOKUP(A149,WBS!A$4:B$200,2,FALSE),"")</f>
        <v/>
      </c>
      <c r="I149" s="14">
        <f>IFERROR(IF(H149="USD",E149*G149*PROY!$B$7,E149*G149),"")</f>
        <v/>
      </c>
    </row>
    <row r="150">
      <c r="B150" s="6">
        <f>IFERROR(VLOOKUP(A150,WBS!A$4:B$200,2,FALSE),"")</f>
        <v/>
      </c>
      <c r="I150" s="14">
        <f>IFERROR(IF(H150="USD",E150*G150*PROY!$B$7,E150*G150),"")</f>
        <v/>
      </c>
    </row>
    <row r="151">
      <c r="B151" s="6">
        <f>IFERROR(VLOOKUP(A151,WBS!A$4:B$200,2,FALSE),"")</f>
        <v/>
      </c>
      <c r="I151" s="14">
        <f>IFERROR(IF(H151="USD",E151*G151*PROY!$B$7,E151*G151),"")</f>
        <v/>
      </c>
    </row>
    <row r="152">
      <c r="B152" s="6">
        <f>IFERROR(VLOOKUP(A152,WBS!A$4:B$200,2,FALSE),"")</f>
        <v/>
      </c>
      <c r="I152" s="14">
        <f>IFERROR(IF(H152="USD",E152*G152*PROY!$B$7,E152*G152),"")</f>
        <v/>
      </c>
    </row>
    <row r="153">
      <c r="B153" s="6">
        <f>IFERROR(VLOOKUP(A153,WBS!A$4:B$200,2,FALSE),"")</f>
        <v/>
      </c>
      <c r="I153" s="14">
        <f>IFERROR(IF(H153="USD",E153*G153*PROY!$B$7,E153*G153),"")</f>
        <v/>
      </c>
    </row>
    <row r="154">
      <c r="B154" s="6">
        <f>IFERROR(VLOOKUP(A154,WBS!A$4:B$200,2,FALSE),"")</f>
        <v/>
      </c>
      <c r="I154" s="14">
        <f>IFERROR(IF(H154="USD",E154*G154*PROY!$B$7,E154*G154),"")</f>
        <v/>
      </c>
    </row>
    <row r="155">
      <c r="B155" s="6">
        <f>IFERROR(VLOOKUP(A155,WBS!A$4:B$200,2,FALSE),"")</f>
        <v/>
      </c>
      <c r="I155" s="14">
        <f>IFERROR(IF(H155="USD",E155*G155*PROY!$B$7,E155*G155),"")</f>
        <v/>
      </c>
    </row>
    <row r="156">
      <c r="B156" s="6">
        <f>IFERROR(VLOOKUP(A156,WBS!A$4:B$200,2,FALSE),"")</f>
        <v/>
      </c>
      <c r="I156" s="14">
        <f>IFERROR(IF(H156="USD",E156*G156*PROY!$B$7,E156*G156),"")</f>
        <v/>
      </c>
    </row>
    <row r="157">
      <c r="B157" s="6">
        <f>IFERROR(VLOOKUP(A157,WBS!A$4:B$200,2,FALSE),"")</f>
        <v/>
      </c>
      <c r="I157" s="14">
        <f>IFERROR(IF(H157="USD",E157*G157*PROY!$B$7,E157*G157),"")</f>
        <v/>
      </c>
    </row>
    <row r="158">
      <c r="B158" s="6">
        <f>IFERROR(VLOOKUP(A158,WBS!A$4:B$200,2,FALSE),"")</f>
        <v/>
      </c>
      <c r="I158" s="14">
        <f>IFERROR(IF(H158="USD",E158*G158*PROY!$B$7,E158*G158),"")</f>
        <v/>
      </c>
    </row>
    <row r="159">
      <c r="B159" s="6">
        <f>IFERROR(VLOOKUP(A159,WBS!A$4:B$200,2,FALSE),"")</f>
        <v/>
      </c>
      <c r="I159" s="14">
        <f>IFERROR(IF(H159="USD",E159*G159*PROY!$B$7,E159*G159),"")</f>
        <v/>
      </c>
    </row>
    <row r="160">
      <c r="B160" s="6">
        <f>IFERROR(VLOOKUP(A160,WBS!A$4:B$200,2,FALSE),"")</f>
        <v/>
      </c>
      <c r="I160" s="14">
        <f>IFERROR(IF(H160="USD",E160*G160*PROY!$B$7,E160*G160),"")</f>
        <v/>
      </c>
    </row>
    <row r="161">
      <c r="B161" s="6">
        <f>IFERROR(VLOOKUP(A161,WBS!A$4:B$200,2,FALSE),"")</f>
        <v/>
      </c>
      <c r="I161" s="14">
        <f>IFERROR(IF(H161="USD",E161*G161*PROY!$B$7,E161*G161),"")</f>
        <v/>
      </c>
    </row>
    <row r="162">
      <c r="B162" s="6">
        <f>IFERROR(VLOOKUP(A162,WBS!A$4:B$200,2,FALSE),"")</f>
        <v/>
      </c>
      <c r="I162" s="14">
        <f>IFERROR(IF(H162="USD",E162*G162*PROY!$B$7,E162*G162),"")</f>
        <v/>
      </c>
    </row>
    <row r="163">
      <c r="B163" s="6">
        <f>IFERROR(VLOOKUP(A163,WBS!A$4:B$200,2,FALSE),"")</f>
        <v/>
      </c>
      <c r="I163" s="14">
        <f>IFERROR(IF(H163="USD",E163*G163*PROY!$B$7,E163*G163),"")</f>
        <v/>
      </c>
    </row>
    <row r="164">
      <c r="B164" s="6">
        <f>IFERROR(VLOOKUP(A164,WBS!A$4:B$200,2,FALSE),"")</f>
        <v/>
      </c>
      <c r="I164" s="14">
        <f>IFERROR(IF(H164="USD",E164*G164*PROY!$B$7,E164*G164),"")</f>
        <v/>
      </c>
    </row>
    <row r="165">
      <c r="B165" s="6">
        <f>IFERROR(VLOOKUP(A165,WBS!A$4:B$200,2,FALSE),"")</f>
        <v/>
      </c>
      <c r="I165" s="14">
        <f>IFERROR(IF(H165="USD",E165*G165*PROY!$B$7,E165*G165),"")</f>
        <v/>
      </c>
    </row>
    <row r="166">
      <c r="B166" s="6">
        <f>IFERROR(VLOOKUP(A166,WBS!A$4:B$200,2,FALSE),"")</f>
        <v/>
      </c>
      <c r="I166" s="14">
        <f>IFERROR(IF(H166="USD",E166*G166*PROY!$B$7,E166*G166),"")</f>
        <v/>
      </c>
    </row>
    <row r="167">
      <c r="B167" s="6">
        <f>IFERROR(VLOOKUP(A167,WBS!A$4:B$200,2,FALSE),"")</f>
        <v/>
      </c>
      <c r="I167" s="14">
        <f>IFERROR(IF(H167="USD",E167*G167*PROY!$B$7,E167*G167),"")</f>
        <v/>
      </c>
    </row>
    <row r="168">
      <c r="B168" s="6">
        <f>IFERROR(VLOOKUP(A168,WBS!A$4:B$200,2,FALSE),"")</f>
        <v/>
      </c>
      <c r="I168" s="14">
        <f>IFERROR(IF(H168="USD",E168*G168*PROY!$B$7,E168*G168),"")</f>
        <v/>
      </c>
    </row>
    <row r="169">
      <c r="B169" s="6">
        <f>IFERROR(VLOOKUP(A169,WBS!A$4:B$200,2,FALSE),"")</f>
        <v/>
      </c>
      <c r="I169" s="14">
        <f>IFERROR(IF(H169="USD",E169*G169*PROY!$B$7,E169*G169),"")</f>
        <v/>
      </c>
    </row>
    <row r="170">
      <c r="B170" s="6">
        <f>IFERROR(VLOOKUP(A170,WBS!A$4:B$200,2,FALSE),"")</f>
        <v/>
      </c>
      <c r="I170" s="14">
        <f>IFERROR(IF(H170="USD",E170*G170*PROY!$B$7,E170*G170),"")</f>
        <v/>
      </c>
    </row>
    <row r="171">
      <c r="B171" s="6">
        <f>IFERROR(VLOOKUP(A171,WBS!A$4:B$200,2,FALSE),"")</f>
        <v/>
      </c>
      <c r="I171" s="14">
        <f>IFERROR(IF(H171="USD",E171*G171*PROY!$B$7,E171*G171),"")</f>
        <v/>
      </c>
    </row>
    <row r="172">
      <c r="B172" s="6">
        <f>IFERROR(VLOOKUP(A172,WBS!A$4:B$200,2,FALSE),"")</f>
        <v/>
      </c>
      <c r="I172" s="14">
        <f>IFERROR(IF(H172="USD",E172*G172*PROY!$B$7,E172*G172),"")</f>
        <v/>
      </c>
    </row>
    <row r="173">
      <c r="B173" s="6">
        <f>IFERROR(VLOOKUP(A173,WBS!A$4:B$200,2,FALSE),"")</f>
        <v/>
      </c>
      <c r="I173" s="14">
        <f>IFERROR(IF(H173="USD",E173*G173*PROY!$B$7,E173*G173),"")</f>
        <v/>
      </c>
    </row>
    <row r="174">
      <c r="B174" s="6">
        <f>IFERROR(VLOOKUP(A174,WBS!A$4:B$200,2,FALSE),"")</f>
        <v/>
      </c>
      <c r="I174" s="14">
        <f>IFERROR(IF(H174="USD",E174*G174*PROY!$B$7,E174*G174),"")</f>
        <v/>
      </c>
    </row>
    <row r="175">
      <c r="B175" s="6">
        <f>IFERROR(VLOOKUP(A175,WBS!A$4:B$200,2,FALSE),"")</f>
        <v/>
      </c>
      <c r="I175" s="14">
        <f>IFERROR(IF(H175="USD",E175*G175*PROY!$B$7,E175*G175),"")</f>
        <v/>
      </c>
    </row>
    <row r="176">
      <c r="B176" s="6">
        <f>IFERROR(VLOOKUP(A176,WBS!A$4:B$200,2,FALSE),"")</f>
        <v/>
      </c>
      <c r="I176" s="14">
        <f>IFERROR(IF(H176="USD",E176*G176*PROY!$B$7,E176*G176),"")</f>
        <v/>
      </c>
    </row>
    <row r="177">
      <c r="B177" s="6">
        <f>IFERROR(VLOOKUP(A177,WBS!A$4:B$200,2,FALSE),"")</f>
        <v/>
      </c>
      <c r="I177" s="14">
        <f>IFERROR(IF(H177="USD",E177*G177*PROY!$B$7,E177*G177),"")</f>
        <v/>
      </c>
    </row>
    <row r="178">
      <c r="B178" s="6">
        <f>IFERROR(VLOOKUP(A178,WBS!A$4:B$200,2,FALSE),"")</f>
        <v/>
      </c>
      <c r="I178" s="14">
        <f>IFERROR(IF(H178="USD",E178*G178*PROY!$B$7,E178*G178),"")</f>
        <v/>
      </c>
    </row>
    <row r="179">
      <c r="B179" s="6">
        <f>IFERROR(VLOOKUP(A179,WBS!A$4:B$200,2,FALSE),"")</f>
        <v/>
      </c>
      <c r="I179" s="14">
        <f>IFERROR(IF(H179="USD",E179*G179*PROY!$B$7,E179*G179),"")</f>
        <v/>
      </c>
    </row>
    <row r="180">
      <c r="B180" s="6">
        <f>IFERROR(VLOOKUP(A180,WBS!A$4:B$200,2,FALSE),"")</f>
        <v/>
      </c>
      <c r="I180" s="14">
        <f>IFERROR(IF(H180="USD",E180*G180*PROY!$B$7,E180*G180),"")</f>
        <v/>
      </c>
    </row>
    <row r="181">
      <c r="B181" s="6">
        <f>IFERROR(VLOOKUP(A181,WBS!A$4:B$200,2,FALSE),"")</f>
        <v/>
      </c>
      <c r="I181" s="14">
        <f>IFERROR(IF(H181="USD",E181*G181*PROY!$B$7,E181*G181),"")</f>
        <v/>
      </c>
    </row>
    <row r="182">
      <c r="B182" s="6">
        <f>IFERROR(VLOOKUP(A182,WBS!A$4:B$200,2,FALSE),"")</f>
        <v/>
      </c>
      <c r="I182" s="14">
        <f>IFERROR(IF(H182="USD",E182*G182*PROY!$B$7,E182*G182),"")</f>
        <v/>
      </c>
    </row>
    <row r="183">
      <c r="B183" s="6">
        <f>IFERROR(VLOOKUP(A183,WBS!A$4:B$200,2,FALSE),"")</f>
        <v/>
      </c>
      <c r="I183" s="14">
        <f>IFERROR(IF(H183="USD",E183*G183*PROY!$B$7,E183*G183),"")</f>
        <v/>
      </c>
    </row>
    <row r="184">
      <c r="B184" s="6">
        <f>IFERROR(VLOOKUP(A184,WBS!A$4:B$200,2,FALSE),"")</f>
        <v/>
      </c>
      <c r="I184" s="14">
        <f>IFERROR(IF(H184="USD",E184*G184*PROY!$B$7,E184*G184),"")</f>
        <v/>
      </c>
    </row>
    <row r="185">
      <c r="B185" s="6">
        <f>IFERROR(VLOOKUP(A185,WBS!A$4:B$200,2,FALSE),"")</f>
        <v/>
      </c>
      <c r="I185" s="14">
        <f>IFERROR(IF(H185="USD",E185*G185*PROY!$B$7,E185*G185),"")</f>
        <v/>
      </c>
    </row>
    <row r="186">
      <c r="B186" s="6">
        <f>IFERROR(VLOOKUP(A186,WBS!A$4:B$200,2,FALSE),"")</f>
        <v/>
      </c>
      <c r="I186" s="14">
        <f>IFERROR(IF(H186="USD",E186*G186*PROY!$B$7,E186*G186),"")</f>
        <v/>
      </c>
    </row>
    <row r="187">
      <c r="B187" s="6">
        <f>IFERROR(VLOOKUP(A187,WBS!A$4:B$200,2,FALSE),"")</f>
        <v/>
      </c>
      <c r="I187" s="14">
        <f>IFERROR(IF(H187="USD",E187*G187*PROY!$B$7,E187*G187),"")</f>
        <v/>
      </c>
    </row>
    <row r="188">
      <c r="B188" s="6">
        <f>IFERROR(VLOOKUP(A188,WBS!A$4:B$200,2,FALSE),"")</f>
        <v/>
      </c>
      <c r="I188" s="14">
        <f>IFERROR(IF(H188="USD",E188*G188*PROY!$B$7,E188*G188),"")</f>
        <v/>
      </c>
    </row>
    <row r="189">
      <c r="B189" s="6">
        <f>IFERROR(VLOOKUP(A189,WBS!A$4:B$200,2,FALSE),"")</f>
        <v/>
      </c>
      <c r="I189" s="14">
        <f>IFERROR(IF(H189="USD",E189*G189*PROY!$B$7,E189*G189),"")</f>
        <v/>
      </c>
    </row>
    <row r="190">
      <c r="B190" s="6">
        <f>IFERROR(VLOOKUP(A190,WBS!A$4:B$200,2,FALSE),"")</f>
        <v/>
      </c>
      <c r="I190" s="14">
        <f>IFERROR(IF(H190="USD",E190*G190*PROY!$B$7,E190*G190),"")</f>
        <v/>
      </c>
    </row>
    <row r="191">
      <c r="B191" s="6">
        <f>IFERROR(VLOOKUP(A191,WBS!A$4:B$200,2,FALSE),"")</f>
        <v/>
      </c>
      <c r="I191" s="14">
        <f>IFERROR(IF(H191="USD",E191*G191*PROY!$B$7,E191*G191),"")</f>
        <v/>
      </c>
    </row>
    <row r="192">
      <c r="B192" s="6">
        <f>IFERROR(VLOOKUP(A192,WBS!A$4:B$200,2,FALSE),"")</f>
        <v/>
      </c>
      <c r="I192" s="14">
        <f>IFERROR(IF(H192="USD",E192*G192*PROY!$B$7,E192*G192),"")</f>
        <v/>
      </c>
    </row>
    <row r="193">
      <c r="B193" s="6">
        <f>IFERROR(VLOOKUP(A193,WBS!A$4:B$200,2,FALSE),"")</f>
        <v/>
      </c>
      <c r="I193" s="14">
        <f>IFERROR(IF(H193="USD",E193*G193*PROY!$B$7,E193*G193),"")</f>
        <v/>
      </c>
    </row>
    <row r="194">
      <c r="B194" s="6">
        <f>IFERROR(VLOOKUP(A194,WBS!A$4:B$200,2,FALSE),"")</f>
        <v/>
      </c>
      <c r="I194" s="14">
        <f>IFERROR(IF(H194="USD",E194*G194*PROY!$B$7,E194*G194),"")</f>
        <v/>
      </c>
    </row>
    <row r="195">
      <c r="B195" s="6">
        <f>IFERROR(VLOOKUP(A195,WBS!A$4:B$200,2,FALSE),"")</f>
        <v/>
      </c>
      <c r="I195" s="14">
        <f>IFERROR(IF(H195="USD",E195*G195*PROY!$B$7,E195*G195),"")</f>
        <v/>
      </c>
    </row>
    <row r="196">
      <c r="B196" s="6">
        <f>IFERROR(VLOOKUP(A196,WBS!A$4:B$200,2,FALSE),"")</f>
        <v/>
      </c>
      <c r="I196" s="14">
        <f>IFERROR(IF(H196="USD",E196*G196*PROY!$B$7,E196*G196),"")</f>
        <v/>
      </c>
    </row>
    <row r="197">
      <c r="B197" s="6">
        <f>IFERROR(VLOOKUP(A197,WBS!A$4:B$200,2,FALSE),"")</f>
        <v/>
      </c>
      <c r="I197" s="14">
        <f>IFERROR(IF(H197="USD",E197*G197*PROY!$B$7,E197*G197),"")</f>
        <v/>
      </c>
    </row>
    <row r="198">
      <c r="B198" s="6">
        <f>IFERROR(VLOOKUP(A198,WBS!A$4:B$200,2,FALSE),"")</f>
        <v/>
      </c>
      <c r="I198" s="14">
        <f>IFERROR(IF(H198="USD",E198*G198*PROY!$B$7,E198*G198),"")</f>
        <v/>
      </c>
    </row>
    <row r="199">
      <c r="B199" s="6">
        <f>IFERROR(VLOOKUP(A199,WBS!A$4:B$200,2,FALSE),"")</f>
        <v/>
      </c>
      <c r="I199" s="14">
        <f>IFERROR(IF(H199="USD",E199*G199*PROY!$B$7,E199*G199),"")</f>
        <v/>
      </c>
    </row>
  </sheetData>
  <dataValidations count="2">
    <dataValidation sqref="C4:C200" showDropDown="0" showInputMessage="0" showErrorMessage="0" allowBlank="1" type="list">
      <formula1>BD!$F$2:$F$10</formula1>
    </dataValidation>
    <dataValidation sqref="H4:H200" showDropDown="0" showInputMessage="0" showErrorMessage="0" allowBlank="0" type="list">
      <formula1>"MXN,USD"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81BD"/>
    <outlinePr summaryBelow="1" summaryRight="1"/>
    <pageSetUpPr/>
  </sheetPr>
  <dimension ref="A1:BC199"/>
  <sheetViews>
    <sheetView workbookViewId="0">
      <selection activeCell="A1" sqref="A1"/>
    </sheetView>
  </sheetViews>
  <sheetFormatPr baseColWidth="8" defaultRowHeight="15"/>
  <cols>
    <col width="5.5" customWidth="1" min="1" max="1"/>
    <col width="12" customWidth="1" min="2" max="2"/>
    <col width="12.5" customWidth="1" min="3" max="3"/>
    <col width="16" customWidth="1" min="4" max="4"/>
    <col width="9" customWidth="1" min="5" max="5"/>
    <col width="9" customWidth="1" min="6" max="6"/>
    <col width="35" customWidth="1" min="7" max="7"/>
    <col width="45" customWidth="1" min="8" max="8"/>
    <col width="12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</cols>
  <sheetData>
    <row r="1">
      <c r="A1" s="1" t="inlineStr">
        <is>
          <t>PASO 3.6 — CRONOGRAMA DE GANTT Y PLAN DE PROYECTO</t>
        </is>
      </c>
    </row>
    <row r="2">
      <c r="A2" s="18" t="inlineStr">
        <is>
          <t>📌 Detalla las actividades del proyecto. La columna D muestra un calendario flotante. La columna G busca la partida y la columna I define predecesoras. El Gantt se dibuja automáticamente en columnas J en adelante.</t>
        </is>
      </c>
      <c r="J2" s="19">
        <f>UPPER(TEXT(J3, "MMMM YYYY"))</f>
        <v/>
      </c>
      <c r="K2" s="19">
        <f>IF(MONTH(K3)&lt;&gt;MONTH(J3), UPPER(TEXT(K3, "MMMM YYYY")), "")</f>
        <v/>
      </c>
      <c r="L2" s="19">
        <f>IF(MONTH(L3)&lt;&gt;MONTH(K3), UPPER(TEXT(L3, "MMMM YYYY")), "")</f>
        <v/>
      </c>
      <c r="M2" s="19">
        <f>IF(MONTH(M3)&lt;&gt;MONTH(L3), UPPER(TEXT(M3, "MMMM YYYY")), "")</f>
        <v/>
      </c>
      <c r="N2" s="19">
        <f>IF(MONTH(N3)&lt;&gt;MONTH(M3), UPPER(TEXT(N3, "MMMM YYYY")), "")</f>
        <v/>
      </c>
      <c r="O2" s="19">
        <f>IF(MONTH(O3)&lt;&gt;MONTH(N3), UPPER(TEXT(O3, "MMMM YYYY")), "")</f>
        <v/>
      </c>
      <c r="P2" s="19">
        <f>IF(MONTH(P3)&lt;&gt;MONTH(O3), UPPER(TEXT(P3, "MMMM YYYY")), "")</f>
        <v/>
      </c>
      <c r="Q2" s="19">
        <f>IF(MONTH(Q3)&lt;&gt;MONTH(P3), UPPER(TEXT(Q3, "MMMM YYYY")), "")</f>
        <v/>
      </c>
      <c r="R2" s="19">
        <f>IF(MONTH(R3)&lt;&gt;MONTH(Q3), UPPER(TEXT(R3, "MMMM YYYY")), "")</f>
        <v/>
      </c>
      <c r="S2" s="19">
        <f>IF(MONTH(S3)&lt;&gt;MONTH(R3), UPPER(TEXT(S3, "MMMM YYYY")), "")</f>
        <v/>
      </c>
      <c r="T2" s="19">
        <f>IF(MONTH(T3)&lt;&gt;MONTH(S3), UPPER(TEXT(T3, "MMMM YYYY")), "")</f>
        <v/>
      </c>
      <c r="U2" s="19">
        <f>IF(MONTH(U3)&lt;&gt;MONTH(T3), UPPER(TEXT(U3, "MMMM YYYY")), "")</f>
        <v/>
      </c>
      <c r="V2" s="19">
        <f>IF(MONTH(V3)&lt;&gt;MONTH(U3), UPPER(TEXT(V3, "MMMM YYYY")), "")</f>
        <v/>
      </c>
      <c r="W2" s="19">
        <f>IF(MONTH(W3)&lt;&gt;MONTH(V3), UPPER(TEXT(W3, "MMMM YYYY")), "")</f>
        <v/>
      </c>
      <c r="X2" s="19">
        <f>IF(MONTH(X3)&lt;&gt;MONTH(W3), UPPER(TEXT(X3, "MMMM YYYY")), "")</f>
        <v/>
      </c>
      <c r="Y2" s="19">
        <f>IF(MONTH(Y3)&lt;&gt;MONTH(X3), UPPER(TEXT(Y3, "MMMM YYYY")), "")</f>
        <v/>
      </c>
      <c r="Z2" s="19">
        <f>IF(MONTH(Z3)&lt;&gt;MONTH(Y3), UPPER(TEXT(Z3, "MMMM YYYY")), "")</f>
        <v/>
      </c>
      <c r="AA2" s="19">
        <f>IF(MONTH(AA3)&lt;&gt;MONTH(Z3), UPPER(TEXT(AA3, "MMMM YYYY")), "")</f>
        <v/>
      </c>
      <c r="AB2" s="19">
        <f>IF(MONTH(AB3)&lt;&gt;MONTH(AA3), UPPER(TEXT(AB3, "MMMM YYYY")), "")</f>
        <v/>
      </c>
      <c r="AC2" s="19">
        <f>IF(MONTH(AC3)&lt;&gt;MONTH(AB3), UPPER(TEXT(AC3, "MMMM YYYY")), "")</f>
        <v/>
      </c>
      <c r="AD2" s="19">
        <f>IF(MONTH(AD3)&lt;&gt;MONTH(AC3), UPPER(TEXT(AD3, "MMMM YYYY")), "")</f>
        <v/>
      </c>
      <c r="AE2" s="19">
        <f>IF(MONTH(AE3)&lt;&gt;MONTH(AD3), UPPER(TEXT(AE3, "MMMM YYYY")), "")</f>
        <v/>
      </c>
      <c r="AF2" s="19">
        <f>IF(MONTH(AF3)&lt;&gt;MONTH(AE3), UPPER(TEXT(AF3, "MMMM YYYY")), "")</f>
        <v/>
      </c>
      <c r="AG2" s="19">
        <f>IF(MONTH(AG3)&lt;&gt;MONTH(AF3), UPPER(TEXT(AG3, "MMMM YYYY")), "")</f>
        <v/>
      </c>
      <c r="AH2" s="19">
        <f>IF(MONTH(AH3)&lt;&gt;MONTH(AG3), UPPER(TEXT(AH3, "MMMM YYYY")), "")</f>
        <v/>
      </c>
      <c r="AI2" s="19">
        <f>IF(MONTH(AI3)&lt;&gt;MONTH(AH3), UPPER(TEXT(AI3, "MMMM YYYY")), "")</f>
        <v/>
      </c>
      <c r="AJ2" s="19">
        <f>IF(MONTH(AJ3)&lt;&gt;MONTH(AI3), UPPER(TEXT(AJ3, "MMMM YYYY")), "")</f>
        <v/>
      </c>
      <c r="AK2" s="19">
        <f>IF(MONTH(AK3)&lt;&gt;MONTH(AJ3), UPPER(TEXT(AK3, "MMMM YYYY")), "")</f>
        <v/>
      </c>
      <c r="AL2" s="19">
        <f>IF(MONTH(AL3)&lt;&gt;MONTH(AK3), UPPER(TEXT(AL3, "MMMM YYYY")), "")</f>
        <v/>
      </c>
      <c r="AM2" s="19">
        <f>IF(MONTH(AM3)&lt;&gt;MONTH(AL3), UPPER(TEXT(AM3, "MMMM YYYY")), "")</f>
        <v/>
      </c>
      <c r="AN2" s="19">
        <f>IF(MONTH(AN3)&lt;&gt;MONTH(AM3), UPPER(TEXT(AN3, "MMMM YYYY")), "")</f>
        <v/>
      </c>
      <c r="AO2" s="19">
        <f>IF(MONTH(AO3)&lt;&gt;MONTH(AN3), UPPER(TEXT(AO3, "MMMM YYYY")), "")</f>
        <v/>
      </c>
      <c r="AP2" s="19">
        <f>IF(MONTH(AP3)&lt;&gt;MONTH(AO3), UPPER(TEXT(AP3, "MMMM YYYY")), "")</f>
        <v/>
      </c>
      <c r="AQ2" s="19">
        <f>IF(MONTH(AQ3)&lt;&gt;MONTH(AP3), UPPER(TEXT(AQ3, "MMMM YYYY")), "")</f>
        <v/>
      </c>
      <c r="AR2" s="19">
        <f>IF(MONTH(AR3)&lt;&gt;MONTH(AQ3), UPPER(TEXT(AR3, "MMMM YYYY")), "")</f>
        <v/>
      </c>
      <c r="AS2" s="19">
        <f>IF(MONTH(AS3)&lt;&gt;MONTH(AR3), UPPER(TEXT(AS3, "MMMM YYYY")), "")</f>
        <v/>
      </c>
      <c r="AT2" s="19">
        <f>IF(MONTH(AT3)&lt;&gt;MONTH(AS3), UPPER(TEXT(AT3, "MMMM YYYY")), "")</f>
        <v/>
      </c>
      <c r="AU2" s="19">
        <f>IF(MONTH(AU3)&lt;&gt;MONTH(AT3), UPPER(TEXT(AU3, "MMMM YYYY")), "")</f>
        <v/>
      </c>
      <c r="AV2" s="19">
        <f>IF(MONTH(AV3)&lt;&gt;MONTH(AU3), UPPER(TEXT(AV3, "MMMM YYYY")), "")</f>
        <v/>
      </c>
      <c r="AW2" s="19">
        <f>IF(MONTH(AW3)&lt;&gt;MONTH(AV3), UPPER(TEXT(AW3, "MMMM YYYY")), "")</f>
        <v/>
      </c>
      <c r="AX2" s="19">
        <f>IF(MONTH(AX3)&lt;&gt;MONTH(AW3), UPPER(TEXT(AX3, "MMMM YYYY")), "")</f>
        <v/>
      </c>
      <c r="AY2" s="19">
        <f>IF(MONTH(AY3)&lt;&gt;MONTH(AX3), UPPER(TEXT(AY3, "MMMM YYYY")), "")</f>
        <v/>
      </c>
      <c r="AZ2" s="19">
        <f>IF(MONTH(AZ3)&lt;&gt;MONTH(AY3), UPPER(TEXT(AZ3, "MMMM YYYY")), "")</f>
        <v/>
      </c>
      <c r="BA2" s="19">
        <f>IF(MONTH(BA3)&lt;&gt;MONTH(AZ3), UPPER(TEXT(BA3, "MMMM YYYY")), "")</f>
        <v/>
      </c>
      <c r="BB2" s="19">
        <f>IF(MONTH(BB3)&lt;&gt;MONTH(BA3), UPPER(TEXT(BB3, "MMMM YYYY")), "")</f>
        <v/>
      </c>
      <c r="BC2" s="19">
        <f>IF(MONTH(BC3)&lt;&gt;MONTH(BB3), UPPER(TEXT(BC3, "MMMM YYYY")), "")</f>
        <v/>
      </c>
    </row>
    <row r="3" ht="30" customHeight="1">
      <c r="A3" s="2" t="inlineStr">
        <is>
          <t>N° Tarea</t>
        </is>
      </c>
      <c r="B3" s="2" t="inlineStr">
        <is>
          <t>Tipo de Tarea</t>
        </is>
      </c>
      <c r="C3" s="2" t="inlineStr">
        <is>
          <t>Ing. Responsable / Rol</t>
        </is>
      </c>
      <c r="D3" s="2" t="inlineStr">
        <is>
          <t>Fecha de Inicio (AAAA-MM-DD)</t>
        </is>
      </c>
      <c r="E3" s="2" t="inlineStr">
        <is>
          <t>Duración (Días)</t>
        </is>
      </c>
      <c r="F3" s="2" t="inlineStr">
        <is>
          <t>Asociar a Partida N°</t>
        </is>
      </c>
      <c r="G3" s="2" t="inlineStr">
        <is>
          <t>Partida WBS (Auto)</t>
        </is>
      </c>
      <c r="H3" s="2" t="inlineStr">
        <is>
          <t>Descripción de la Actividad</t>
        </is>
      </c>
      <c r="I3" s="2" t="inlineStr">
        <is>
          <t>Predecesoras</t>
        </is>
      </c>
      <c r="J3" s="20">
        <f>D4</f>
        <v/>
      </c>
      <c r="K3" s="20">
        <f>J3+1</f>
        <v/>
      </c>
      <c r="L3" s="20">
        <f>K3+1</f>
        <v/>
      </c>
      <c r="M3" s="20">
        <f>L3+1</f>
        <v/>
      </c>
      <c r="N3" s="20">
        <f>M3+1</f>
        <v/>
      </c>
      <c r="O3" s="20">
        <f>N3+1</f>
        <v/>
      </c>
      <c r="P3" s="20">
        <f>O3+1</f>
        <v/>
      </c>
      <c r="Q3" s="20">
        <f>P3+1</f>
        <v/>
      </c>
      <c r="R3" s="20">
        <f>Q3+1</f>
        <v/>
      </c>
      <c r="S3" s="20">
        <f>R3+1</f>
        <v/>
      </c>
      <c r="T3" s="20">
        <f>S3+1</f>
        <v/>
      </c>
      <c r="U3" s="20">
        <f>T3+1</f>
        <v/>
      </c>
      <c r="V3" s="20">
        <f>U3+1</f>
        <v/>
      </c>
      <c r="W3" s="20">
        <f>V3+1</f>
        <v/>
      </c>
      <c r="X3" s="20">
        <f>W3+1</f>
        <v/>
      </c>
      <c r="Y3" s="20">
        <f>X3+1</f>
        <v/>
      </c>
      <c r="Z3" s="20">
        <f>Y3+1</f>
        <v/>
      </c>
      <c r="AA3" s="20">
        <f>Z3+1</f>
        <v/>
      </c>
      <c r="AB3" s="20">
        <f>AA3+1</f>
        <v/>
      </c>
      <c r="AC3" s="20">
        <f>AB3+1</f>
        <v/>
      </c>
      <c r="AD3" s="20">
        <f>AC3+1</f>
        <v/>
      </c>
      <c r="AE3" s="20">
        <f>AD3+1</f>
        <v/>
      </c>
      <c r="AF3" s="20">
        <f>AE3+1</f>
        <v/>
      </c>
      <c r="AG3" s="20">
        <f>AF3+1</f>
        <v/>
      </c>
      <c r="AH3" s="20">
        <f>AG3+1</f>
        <v/>
      </c>
      <c r="AI3" s="20">
        <f>AH3+1</f>
        <v/>
      </c>
      <c r="AJ3" s="20">
        <f>AI3+1</f>
        <v/>
      </c>
      <c r="AK3" s="20">
        <f>AJ3+1</f>
        <v/>
      </c>
      <c r="AL3" s="20">
        <f>AK3+1</f>
        <v/>
      </c>
      <c r="AM3" s="20">
        <f>AL3+1</f>
        <v/>
      </c>
      <c r="AN3" s="20">
        <f>AM3+1</f>
        <v/>
      </c>
      <c r="AO3" s="20">
        <f>AN3+1</f>
        <v/>
      </c>
      <c r="AP3" s="20">
        <f>AO3+1</f>
        <v/>
      </c>
      <c r="AQ3" s="20">
        <f>AP3+1</f>
        <v/>
      </c>
      <c r="AR3" s="20">
        <f>AQ3+1</f>
        <v/>
      </c>
      <c r="AS3" s="20">
        <f>AR3+1</f>
        <v/>
      </c>
      <c r="AT3" s="20">
        <f>AS3+1</f>
        <v/>
      </c>
      <c r="AU3" s="20">
        <f>AT3+1</f>
        <v/>
      </c>
      <c r="AV3" s="20">
        <f>AU3+1</f>
        <v/>
      </c>
      <c r="AW3" s="20">
        <f>AV3+1</f>
        <v/>
      </c>
      <c r="AX3" s="20">
        <f>AW3+1</f>
        <v/>
      </c>
      <c r="AY3" s="20">
        <f>AX3+1</f>
        <v/>
      </c>
      <c r="AZ3" s="20">
        <f>AY3+1</f>
        <v/>
      </c>
      <c r="BA3" s="20">
        <f>AZ3+1</f>
        <v/>
      </c>
      <c r="BB3" s="20">
        <f>BA3+1</f>
        <v/>
      </c>
      <c r="BC3" s="20">
        <f>BB3+1</f>
        <v/>
      </c>
    </row>
    <row r="4">
      <c r="A4" s="5" t="n">
        <v>1</v>
      </c>
      <c r="B4" t="inlineStr">
        <is>
          <t>Actividad</t>
        </is>
      </c>
      <c r="C4" t="inlineStr">
        <is>
          <t>DS</t>
        </is>
      </c>
      <c r="D4" s="21" t="n">
        <v>46245</v>
      </c>
      <c r="E4" s="22" t="n">
        <v>5</v>
      </c>
      <c r="F4" s="23" t="n">
        <v>1</v>
      </c>
      <c r="G4" s="24">
        <f>IFERROR(VLOOKUP(F4, WBS!A$4:B$200, 2, FALSE), "")</f>
        <v/>
      </c>
      <c r="H4" s="3" t="inlineStr">
        <is>
          <t>Levantamiento y validación técnica en sitio</t>
        </is>
      </c>
      <c r="I4" s="5" t="inlineStr"/>
    </row>
    <row r="5">
      <c r="A5" s="5" t="n">
        <v>2</v>
      </c>
      <c r="B5" t="inlineStr">
        <is>
          <t>Entregable</t>
        </is>
      </c>
      <c r="C5" t="inlineStr">
        <is>
          <t>DS</t>
        </is>
      </c>
      <c r="D5" s="21">
        <f>IF(OR(ISBLANK(I5), I5=""), $D$4, INDEX(D$4:D$200, MATCH(I5, A$4:A$200, 0)) + INDEX(E$4:E$200, MATCH(I5, A$4:A$200, 0)))</f>
        <v/>
      </c>
      <c r="E5" s="22" t="n">
        <v>7</v>
      </c>
      <c r="F5" s="23" t="n">
        <v>1</v>
      </c>
      <c r="G5" s="24">
        <f>IFERROR(VLOOKUP(F5, WBS!A$4:B$200, 2, FALSE), "")</f>
        <v/>
      </c>
      <c r="H5" s="3" t="inlineStr">
        <is>
          <t>Diseño tridimensional y diagramas eléctricos</t>
        </is>
      </c>
      <c r="I5" s="5" t="n">
        <v>1</v>
      </c>
    </row>
    <row r="6">
      <c r="A6" s="5" t="n">
        <v>3</v>
      </c>
      <c r="B6" t="inlineStr">
        <is>
          <t>Reunión</t>
        </is>
      </c>
      <c r="C6" t="inlineStr">
        <is>
          <t>DS</t>
        </is>
      </c>
      <c r="D6" s="21">
        <f>IF(OR(ISBLANK(I6), I6=""), $D$4, INDEX(D$4:D$200, MATCH(I6, A$4:A$200, 0)) + INDEX(E$4:E$200, MATCH(I6, A$4:A$200, 0)))</f>
        <v/>
      </c>
      <c r="E6" s="22" t="n">
        <v>1</v>
      </c>
      <c r="F6" s="23" t="n">
        <v>2</v>
      </c>
      <c r="G6" s="24">
        <f>IFERROR(VLOOKUP(F6, WBS!A$4:B$200, 2, FALSE), "")</f>
        <v/>
      </c>
      <c r="H6" s="3" t="inlineStr">
        <is>
          <t>Reunión de revisión de ingeniería con cliente</t>
        </is>
      </c>
      <c r="I6" s="5" t="n">
        <v>2</v>
      </c>
    </row>
    <row r="7">
      <c r="A7" s="5" t="n">
        <v>4</v>
      </c>
      <c r="B7" t="inlineStr">
        <is>
          <t>Hito</t>
        </is>
      </c>
      <c r="C7" t="inlineStr">
        <is>
          <t>DS</t>
        </is>
      </c>
      <c r="D7" s="21">
        <f>IF(OR(ISBLANK(I7), I7=""), $D$4, INDEX(D$4:D$200, MATCH(I7, A$4:A$200, 0)) + INDEX(E$4:E$200, MATCH(I7, A$4:A$200, 0)))</f>
        <v/>
      </c>
      <c r="E7" s="22" t="n">
        <v>1</v>
      </c>
      <c r="F7" s="23" t="n">
        <v>2</v>
      </c>
      <c r="G7" s="24">
        <f>IFERROR(VLOOKUP(F7, WBS!A$4:B$200, 2, FALSE), "")</f>
        <v/>
      </c>
      <c r="H7" s="3" t="inlineStr">
        <is>
          <t>Hito: Aprobación final de diseño para manufactura</t>
        </is>
      </c>
      <c r="I7" s="5" t="n">
        <v>3</v>
      </c>
    </row>
    <row r="8">
      <c r="A8" s="5" t="n">
        <v>5</v>
      </c>
      <c r="D8" s="21">
        <f>IF(OR(ISBLANK(I8), I8=""), $D$4, INDEX(D$4:D$200, MATCH(I8, A$4:A$200, 0)) + INDEX(E$4:E$200, MATCH(I8, A$4:A$200, 0)))</f>
        <v/>
      </c>
      <c r="E8" s="25" t="n"/>
      <c r="F8" s="26" t="n"/>
      <c r="G8" s="24">
        <f>IFERROR(VLOOKUP(F8, WBS!A$4:B$200, 2, FALSE), "")</f>
        <v/>
      </c>
      <c r="I8" s="5" t="n"/>
    </row>
    <row r="9">
      <c r="A9" s="5" t="n">
        <v>6</v>
      </c>
      <c r="D9" s="21">
        <f>IF(OR(ISBLANK(I9), I9=""), $D$4, INDEX(D$4:D$200, MATCH(I9, A$4:A$200, 0)) + INDEX(E$4:E$200, MATCH(I9, A$4:A$200, 0)))</f>
        <v/>
      </c>
      <c r="E9" s="25" t="n"/>
      <c r="F9" s="26" t="n"/>
      <c r="G9" s="24">
        <f>IFERROR(VLOOKUP(F9, WBS!A$4:B$200, 2, FALSE), "")</f>
        <v/>
      </c>
      <c r="I9" s="5" t="n"/>
    </row>
    <row r="10">
      <c r="A10" s="5" t="n">
        <v>7</v>
      </c>
      <c r="D10" s="21">
        <f>IF(OR(ISBLANK(I10), I10=""), $D$4, INDEX(D$4:D$200, MATCH(I10, A$4:A$200, 0)) + INDEX(E$4:E$200, MATCH(I10, A$4:A$200, 0)))</f>
        <v/>
      </c>
      <c r="E10" s="25" t="n"/>
      <c r="F10" s="26" t="n"/>
      <c r="G10" s="24">
        <f>IFERROR(VLOOKUP(F10, WBS!A$4:B$200, 2, FALSE), "")</f>
        <v/>
      </c>
      <c r="I10" s="5" t="n"/>
    </row>
    <row r="11">
      <c r="A11" s="5" t="n">
        <v>8</v>
      </c>
      <c r="D11" s="21">
        <f>IF(OR(ISBLANK(I11), I11=""), $D$4, INDEX(D$4:D$200, MATCH(I11, A$4:A$200, 0)) + INDEX(E$4:E$200, MATCH(I11, A$4:A$200, 0)))</f>
        <v/>
      </c>
      <c r="E11" s="25" t="n"/>
      <c r="F11" s="26" t="n"/>
      <c r="G11" s="24">
        <f>IFERROR(VLOOKUP(F11, WBS!A$4:B$200, 2, FALSE), "")</f>
        <v/>
      </c>
      <c r="I11" s="5" t="n"/>
    </row>
    <row r="12">
      <c r="A12" s="5" t="n">
        <v>9</v>
      </c>
      <c r="D12" s="21">
        <f>IF(OR(ISBLANK(I12), I12=""), $D$4, INDEX(D$4:D$200, MATCH(I12, A$4:A$200, 0)) + INDEX(E$4:E$200, MATCH(I12, A$4:A$200, 0)))</f>
        <v/>
      </c>
      <c r="E12" s="25" t="n"/>
      <c r="F12" s="26" t="n"/>
      <c r="G12" s="24">
        <f>IFERROR(VLOOKUP(F12, WBS!A$4:B$200, 2, FALSE), "")</f>
        <v/>
      </c>
      <c r="I12" s="5" t="n"/>
    </row>
    <row r="13">
      <c r="A13" s="5" t="n">
        <v>10</v>
      </c>
      <c r="D13" s="21">
        <f>IF(OR(ISBLANK(I13), I13=""), $D$4, INDEX(D$4:D$200, MATCH(I13, A$4:A$200, 0)) + INDEX(E$4:E$200, MATCH(I13, A$4:A$200, 0)))</f>
        <v/>
      </c>
      <c r="E13" s="25" t="n"/>
      <c r="F13" s="26" t="n"/>
      <c r="G13" s="24">
        <f>IFERROR(VLOOKUP(F13, WBS!A$4:B$200, 2, FALSE), "")</f>
        <v/>
      </c>
      <c r="I13" s="5" t="n"/>
    </row>
    <row r="14">
      <c r="A14" s="5" t="n">
        <v>11</v>
      </c>
      <c r="D14" s="21">
        <f>IF(OR(ISBLANK(I14), I14=""), $D$4, INDEX(D$4:D$200, MATCH(I14, A$4:A$200, 0)) + INDEX(E$4:E$200, MATCH(I14, A$4:A$200, 0)))</f>
        <v/>
      </c>
      <c r="E14" s="25" t="n"/>
      <c r="F14" s="26" t="n"/>
      <c r="G14" s="24">
        <f>IFERROR(VLOOKUP(F14, WBS!A$4:B$200, 2, FALSE), "")</f>
        <v/>
      </c>
      <c r="I14" s="5" t="n"/>
    </row>
    <row r="15">
      <c r="A15" s="5" t="n">
        <v>12</v>
      </c>
      <c r="D15" s="21">
        <f>IF(OR(ISBLANK(I15), I15=""), $D$4, INDEX(D$4:D$200, MATCH(I15, A$4:A$200, 0)) + INDEX(E$4:E$200, MATCH(I15, A$4:A$200, 0)))</f>
        <v/>
      </c>
      <c r="E15" s="25" t="n"/>
      <c r="F15" s="26" t="n"/>
      <c r="G15" s="24">
        <f>IFERROR(VLOOKUP(F15, WBS!A$4:B$200, 2, FALSE), "")</f>
        <v/>
      </c>
      <c r="I15" s="5" t="n"/>
    </row>
    <row r="16">
      <c r="A16" s="5" t="n">
        <v>13</v>
      </c>
      <c r="D16" s="21">
        <f>IF(OR(ISBLANK(I16), I16=""), $D$4, INDEX(D$4:D$200, MATCH(I16, A$4:A$200, 0)) + INDEX(E$4:E$200, MATCH(I16, A$4:A$200, 0)))</f>
        <v/>
      </c>
      <c r="E16" s="25" t="n"/>
      <c r="F16" s="26" t="n"/>
      <c r="G16" s="24">
        <f>IFERROR(VLOOKUP(F16, WBS!A$4:B$200, 2, FALSE), "")</f>
        <v/>
      </c>
      <c r="I16" s="5" t="n"/>
    </row>
    <row r="17">
      <c r="A17" s="5" t="n">
        <v>14</v>
      </c>
      <c r="D17" s="21">
        <f>IF(OR(ISBLANK(I17), I17=""), $D$4, INDEX(D$4:D$200, MATCH(I17, A$4:A$200, 0)) + INDEX(E$4:E$200, MATCH(I17, A$4:A$200, 0)))</f>
        <v/>
      </c>
      <c r="E17" s="25" t="n"/>
      <c r="F17" s="26" t="n"/>
      <c r="G17" s="24">
        <f>IFERROR(VLOOKUP(F17, WBS!A$4:B$200, 2, FALSE), "")</f>
        <v/>
      </c>
      <c r="I17" s="5" t="n"/>
    </row>
    <row r="18">
      <c r="A18" s="5" t="n">
        <v>15</v>
      </c>
      <c r="D18" s="21">
        <f>IF(OR(ISBLANK(I18), I18=""), $D$4, INDEX(D$4:D$200, MATCH(I18, A$4:A$200, 0)) + INDEX(E$4:E$200, MATCH(I18, A$4:A$200, 0)))</f>
        <v/>
      </c>
      <c r="E18" s="25" t="n"/>
      <c r="F18" s="26" t="n"/>
      <c r="G18" s="24">
        <f>IFERROR(VLOOKUP(F18, WBS!A$4:B$200, 2, FALSE), "")</f>
        <v/>
      </c>
      <c r="I18" s="5" t="n"/>
    </row>
    <row r="19">
      <c r="A19" s="5" t="n">
        <v>16</v>
      </c>
      <c r="D19" s="21">
        <f>IF(OR(ISBLANK(I19), I19=""), $D$4, INDEX(D$4:D$200, MATCH(I19, A$4:A$200, 0)) + INDEX(E$4:E$200, MATCH(I19, A$4:A$200, 0)))</f>
        <v/>
      </c>
      <c r="E19" s="25" t="n"/>
      <c r="F19" s="26" t="n"/>
      <c r="G19" s="24">
        <f>IFERROR(VLOOKUP(F19, WBS!A$4:B$200, 2, FALSE), "")</f>
        <v/>
      </c>
      <c r="I19" s="5" t="n"/>
    </row>
    <row r="20">
      <c r="A20" s="5" t="n">
        <v>17</v>
      </c>
      <c r="D20" s="21">
        <f>IF(OR(ISBLANK(I20), I20=""), $D$4, INDEX(D$4:D$200, MATCH(I20, A$4:A$200, 0)) + INDEX(E$4:E$200, MATCH(I20, A$4:A$200, 0)))</f>
        <v/>
      </c>
      <c r="E20" s="25" t="n"/>
      <c r="F20" s="26" t="n"/>
      <c r="G20" s="24">
        <f>IFERROR(VLOOKUP(F20, WBS!A$4:B$200, 2, FALSE), "")</f>
        <v/>
      </c>
      <c r="I20" s="5" t="n"/>
    </row>
    <row r="21">
      <c r="A21" s="5" t="n">
        <v>18</v>
      </c>
      <c r="D21" s="21">
        <f>IF(OR(ISBLANK(I21), I21=""), $D$4, INDEX(D$4:D$200, MATCH(I21, A$4:A$200, 0)) + INDEX(E$4:E$200, MATCH(I21, A$4:A$200, 0)))</f>
        <v/>
      </c>
      <c r="E21" s="25" t="n"/>
      <c r="F21" s="26" t="n"/>
      <c r="G21" s="24">
        <f>IFERROR(VLOOKUP(F21, WBS!A$4:B$200, 2, FALSE), "")</f>
        <v/>
      </c>
      <c r="I21" s="5" t="n"/>
    </row>
    <row r="22">
      <c r="A22" s="5" t="n">
        <v>19</v>
      </c>
      <c r="D22" s="21">
        <f>IF(OR(ISBLANK(I22), I22=""), $D$4, INDEX(D$4:D$200, MATCH(I22, A$4:A$200, 0)) + INDEX(E$4:E$200, MATCH(I22, A$4:A$200, 0)))</f>
        <v/>
      </c>
      <c r="E22" s="25" t="n"/>
      <c r="F22" s="26" t="n"/>
      <c r="G22" s="24">
        <f>IFERROR(VLOOKUP(F22, WBS!A$4:B$200, 2, FALSE), "")</f>
        <v/>
      </c>
      <c r="I22" s="5" t="n"/>
    </row>
    <row r="23">
      <c r="A23" s="5" t="n">
        <v>20</v>
      </c>
      <c r="D23" s="21">
        <f>IF(OR(ISBLANK(I23), I23=""), $D$4, INDEX(D$4:D$200, MATCH(I23, A$4:A$200, 0)) + INDEX(E$4:E$200, MATCH(I23, A$4:A$200, 0)))</f>
        <v/>
      </c>
      <c r="E23" s="25" t="n"/>
      <c r="F23" s="26" t="n"/>
      <c r="G23" s="24">
        <f>IFERROR(VLOOKUP(F23, WBS!A$4:B$200, 2, FALSE), "")</f>
        <v/>
      </c>
      <c r="I23" s="5" t="n"/>
    </row>
    <row r="24">
      <c r="A24" s="5" t="n">
        <v>21</v>
      </c>
      <c r="D24" s="21">
        <f>IF(OR(ISBLANK(I24), I24=""), $D$4, INDEX(D$4:D$200, MATCH(I24, A$4:A$200, 0)) + INDEX(E$4:E$200, MATCH(I24, A$4:A$200, 0)))</f>
        <v/>
      </c>
      <c r="E24" s="25" t="n"/>
      <c r="F24" s="26" t="n"/>
      <c r="G24" s="24">
        <f>IFERROR(VLOOKUP(F24, WBS!A$4:B$200, 2, FALSE), "")</f>
        <v/>
      </c>
      <c r="I24" s="5" t="n"/>
    </row>
    <row r="25">
      <c r="A25" s="5" t="n">
        <v>22</v>
      </c>
      <c r="D25" s="21">
        <f>IF(OR(ISBLANK(I25), I25=""), $D$4, INDEX(D$4:D$200, MATCH(I25, A$4:A$200, 0)) + INDEX(E$4:E$200, MATCH(I25, A$4:A$200, 0)))</f>
        <v/>
      </c>
      <c r="E25" s="25" t="n"/>
      <c r="F25" s="26" t="n"/>
      <c r="G25" s="24">
        <f>IFERROR(VLOOKUP(F25, WBS!A$4:B$200, 2, FALSE), "")</f>
        <v/>
      </c>
      <c r="I25" s="5" t="n"/>
    </row>
    <row r="26">
      <c r="A26" s="5" t="n">
        <v>23</v>
      </c>
      <c r="D26" s="21">
        <f>IF(OR(ISBLANK(I26), I26=""), $D$4, INDEX(D$4:D$200, MATCH(I26, A$4:A$200, 0)) + INDEX(E$4:E$200, MATCH(I26, A$4:A$200, 0)))</f>
        <v/>
      </c>
      <c r="E26" s="25" t="n"/>
      <c r="F26" s="26" t="n"/>
      <c r="G26" s="24">
        <f>IFERROR(VLOOKUP(F26, WBS!A$4:B$200, 2, FALSE), "")</f>
        <v/>
      </c>
      <c r="I26" s="5" t="n"/>
    </row>
    <row r="27">
      <c r="A27" s="5" t="n">
        <v>24</v>
      </c>
      <c r="D27" s="21">
        <f>IF(OR(ISBLANK(I27), I27=""), $D$4, INDEX(D$4:D$200, MATCH(I27, A$4:A$200, 0)) + INDEX(E$4:E$200, MATCH(I27, A$4:A$200, 0)))</f>
        <v/>
      </c>
      <c r="E27" s="25" t="n"/>
      <c r="F27" s="26" t="n"/>
      <c r="G27" s="24">
        <f>IFERROR(VLOOKUP(F27, WBS!A$4:B$200, 2, FALSE), "")</f>
        <v/>
      </c>
      <c r="I27" s="5" t="n"/>
    </row>
    <row r="28">
      <c r="A28" s="5" t="n">
        <v>25</v>
      </c>
      <c r="D28" s="21">
        <f>IF(OR(ISBLANK(I28), I28=""), $D$4, INDEX(D$4:D$200, MATCH(I28, A$4:A$200, 0)) + INDEX(E$4:E$200, MATCH(I28, A$4:A$200, 0)))</f>
        <v/>
      </c>
      <c r="E28" s="25" t="n"/>
      <c r="F28" s="26" t="n"/>
      <c r="G28" s="24">
        <f>IFERROR(VLOOKUP(F28, WBS!A$4:B$200, 2, FALSE), "")</f>
        <v/>
      </c>
      <c r="I28" s="5" t="n"/>
    </row>
    <row r="29">
      <c r="A29" s="5" t="n">
        <v>26</v>
      </c>
      <c r="D29" s="21">
        <f>IF(OR(ISBLANK(I29), I29=""), $D$4, INDEX(D$4:D$200, MATCH(I29, A$4:A$200, 0)) + INDEX(E$4:E$200, MATCH(I29, A$4:A$200, 0)))</f>
        <v/>
      </c>
      <c r="E29" s="25" t="n"/>
      <c r="F29" s="26" t="n"/>
      <c r="G29" s="24">
        <f>IFERROR(VLOOKUP(F29, WBS!A$4:B$200, 2, FALSE), "")</f>
        <v/>
      </c>
      <c r="I29" s="5" t="n"/>
    </row>
    <row r="30">
      <c r="A30" s="5" t="n">
        <v>27</v>
      </c>
      <c r="D30" s="21">
        <f>IF(OR(ISBLANK(I30), I30=""), $D$4, INDEX(D$4:D$200, MATCH(I30, A$4:A$200, 0)) + INDEX(E$4:E$200, MATCH(I30, A$4:A$200, 0)))</f>
        <v/>
      </c>
      <c r="E30" s="25" t="n"/>
      <c r="F30" s="26" t="n"/>
      <c r="G30" s="24">
        <f>IFERROR(VLOOKUP(F30, WBS!A$4:B$200, 2, FALSE), "")</f>
        <v/>
      </c>
      <c r="I30" s="5" t="n"/>
    </row>
    <row r="31">
      <c r="A31" s="5" t="n">
        <v>28</v>
      </c>
      <c r="D31" s="21">
        <f>IF(OR(ISBLANK(I31), I31=""), $D$4, INDEX(D$4:D$200, MATCH(I31, A$4:A$200, 0)) + INDEX(E$4:E$200, MATCH(I31, A$4:A$200, 0)))</f>
        <v/>
      </c>
      <c r="E31" s="25" t="n"/>
      <c r="F31" s="26" t="n"/>
      <c r="G31" s="24">
        <f>IFERROR(VLOOKUP(F31, WBS!A$4:B$200, 2, FALSE), "")</f>
        <v/>
      </c>
      <c r="I31" s="5" t="n"/>
    </row>
    <row r="32">
      <c r="A32" s="5" t="n">
        <v>29</v>
      </c>
      <c r="D32" s="21">
        <f>IF(OR(ISBLANK(I32), I32=""), $D$4, INDEX(D$4:D$200, MATCH(I32, A$4:A$200, 0)) + INDEX(E$4:E$200, MATCH(I32, A$4:A$200, 0)))</f>
        <v/>
      </c>
      <c r="E32" s="25" t="n"/>
      <c r="F32" s="26" t="n"/>
      <c r="G32" s="24">
        <f>IFERROR(VLOOKUP(F32, WBS!A$4:B$200, 2, FALSE), "")</f>
        <v/>
      </c>
      <c r="I32" s="5" t="n"/>
    </row>
    <row r="33">
      <c r="A33" s="5" t="n">
        <v>30</v>
      </c>
      <c r="D33" s="21">
        <f>IF(OR(ISBLANK(I33), I33=""), $D$4, INDEX(D$4:D$200, MATCH(I33, A$4:A$200, 0)) + INDEX(E$4:E$200, MATCH(I33, A$4:A$200, 0)))</f>
        <v/>
      </c>
      <c r="E33" s="25" t="n"/>
      <c r="F33" s="26" t="n"/>
      <c r="G33" s="24">
        <f>IFERROR(VLOOKUP(F33, WBS!A$4:B$200, 2, FALSE), "")</f>
        <v/>
      </c>
      <c r="I33" s="5" t="n"/>
    </row>
    <row r="34">
      <c r="A34" s="5" t="n">
        <v>31</v>
      </c>
      <c r="D34" s="21">
        <f>IF(OR(ISBLANK(I34), I34=""), $D$4, INDEX(D$4:D$200, MATCH(I34, A$4:A$200, 0)) + INDEX(E$4:E$200, MATCH(I34, A$4:A$200, 0)))</f>
        <v/>
      </c>
      <c r="E34" s="25" t="n"/>
      <c r="F34" s="26" t="n"/>
      <c r="G34" s="24">
        <f>IFERROR(VLOOKUP(F34, WBS!A$4:B$200, 2, FALSE), "")</f>
        <v/>
      </c>
      <c r="I34" s="5" t="n"/>
    </row>
    <row r="35">
      <c r="A35" s="5" t="n">
        <v>32</v>
      </c>
      <c r="D35" s="21">
        <f>IF(OR(ISBLANK(I35), I35=""), $D$4, INDEX(D$4:D$200, MATCH(I35, A$4:A$200, 0)) + INDEX(E$4:E$200, MATCH(I35, A$4:A$200, 0)))</f>
        <v/>
      </c>
      <c r="E35" s="25" t="n"/>
      <c r="F35" s="26" t="n"/>
      <c r="G35" s="24">
        <f>IFERROR(VLOOKUP(F35, WBS!A$4:B$200, 2, FALSE), "")</f>
        <v/>
      </c>
      <c r="I35" s="5" t="n"/>
    </row>
    <row r="36">
      <c r="A36" s="5" t="n">
        <v>33</v>
      </c>
      <c r="D36" s="21">
        <f>IF(OR(ISBLANK(I36), I36=""), $D$4, INDEX(D$4:D$200, MATCH(I36, A$4:A$200, 0)) + INDEX(E$4:E$200, MATCH(I36, A$4:A$200, 0)))</f>
        <v/>
      </c>
      <c r="E36" s="25" t="n"/>
      <c r="F36" s="26" t="n"/>
      <c r="G36" s="24">
        <f>IFERROR(VLOOKUP(F36, WBS!A$4:B$200, 2, FALSE), "")</f>
        <v/>
      </c>
      <c r="I36" s="5" t="n"/>
    </row>
    <row r="37">
      <c r="A37" s="5" t="n">
        <v>34</v>
      </c>
      <c r="D37" s="21">
        <f>IF(OR(ISBLANK(I37), I37=""), $D$4, INDEX(D$4:D$200, MATCH(I37, A$4:A$200, 0)) + INDEX(E$4:E$200, MATCH(I37, A$4:A$200, 0)))</f>
        <v/>
      </c>
      <c r="E37" s="25" t="n"/>
      <c r="F37" s="26" t="n"/>
      <c r="G37" s="24">
        <f>IFERROR(VLOOKUP(F37, WBS!A$4:B$200, 2, FALSE), "")</f>
        <v/>
      </c>
      <c r="I37" s="5" t="n"/>
    </row>
    <row r="38">
      <c r="A38" s="5" t="n">
        <v>35</v>
      </c>
      <c r="D38" s="21">
        <f>IF(OR(ISBLANK(I38), I38=""), $D$4, INDEX(D$4:D$200, MATCH(I38, A$4:A$200, 0)) + INDEX(E$4:E$200, MATCH(I38, A$4:A$200, 0)))</f>
        <v/>
      </c>
      <c r="E38" s="25" t="n"/>
      <c r="F38" s="26" t="n"/>
      <c r="G38" s="24">
        <f>IFERROR(VLOOKUP(F38, WBS!A$4:B$200, 2, FALSE), "")</f>
        <v/>
      </c>
      <c r="I38" s="5" t="n"/>
    </row>
    <row r="39">
      <c r="A39" s="5" t="n">
        <v>36</v>
      </c>
      <c r="D39" s="21">
        <f>IF(OR(ISBLANK(I39), I39=""), $D$4, INDEX(D$4:D$200, MATCH(I39, A$4:A$200, 0)) + INDEX(E$4:E$200, MATCH(I39, A$4:A$200, 0)))</f>
        <v/>
      </c>
      <c r="E39" s="25" t="n"/>
      <c r="F39" s="26" t="n"/>
      <c r="G39" s="24">
        <f>IFERROR(VLOOKUP(F39, WBS!A$4:B$200, 2, FALSE), "")</f>
        <v/>
      </c>
      <c r="I39" s="5" t="n"/>
    </row>
    <row r="40">
      <c r="A40" s="5" t="n">
        <v>37</v>
      </c>
      <c r="D40" s="21">
        <f>IF(OR(ISBLANK(I40), I40=""), $D$4, INDEX(D$4:D$200, MATCH(I40, A$4:A$200, 0)) + INDEX(E$4:E$200, MATCH(I40, A$4:A$200, 0)))</f>
        <v/>
      </c>
      <c r="E40" s="25" t="n"/>
      <c r="F40" s="26" t="n"/>
      <c r="G40" s="24">
        <f>IFERROR(VLOOKUP(F40, WBS!A$4:B$200, 2, FALSE), "")</f>
        <v/>
      </c>
      <c r="I40" s="5" t="n"/>
    </row>
    <row r="41">
      <c r="A41" s="5" t="n">
        <v>38</v>
      </c>
      <c r="D41" s="21">
        <f>IF(OR(ISBLANK(I41), I41=""), $D$4, INDEX(D$4:D$200, MATCH(I41, A$4:A$200, 0)) + INDEX(E$4:E$200, MATCH(I41, A$4:A$200, 0)))</f>
        <v/>
      </c>
      <c r="E41" s="25" t="n"/>
      <c r="F41" s="26" t="n"/>
      <c r="G41" s="24">
        <f>IFERROR(VLOOKUP(F41, WBS!A$4:B$200, 2, FALSE), "")</f>
        <v/>
      </c>
      <c r="I41" s="5" t="n"/>
    </row>
    <row r="42">
      <c r="A42" s="5" t="n">
        <v>39</v>
      </c>
      <c r="D42" s="21">
        <f>IF(OR(ISBLANK(I42), I42=""), $D$4, INDEX(D$4:D$200, MATCH(I42, A$4:A$200, 0)) + INDEX(E$4:E$200, MATCH(I42, A$4:A$200, 0)))</f>
        <v/>
      </c>
      <c r="E42" s="25" t="n"/>
      <c r="F42" s="26" t="n"/>
      <c r="G42" s="24">
        <f>IFERROR(VLOOKUP(F42, WBS!A$4:B$200, 2, FALSE), "")</f>
        <v/>
      </c>
      <c r="I42" s="5" t="n"/>
    </row>
    <row r="43">
      <c r="A43" s="5" t="n">
        <v>40</v>
      </c>
      <c r="D43" s="21">
        <f>IF(OR(ISBLANK(I43), I43=""), $D$4, INDEX(D$4:D$200, MATCH(I43, A$4:A$200, 0)) + INDEX(E$4:E$200, MATCH(I43, A$4:A$200, 0)))</f>
        <v/>
      </c>
      <c r="E43" s="25" t="n"/>
      <c r="F43" s="26" t="n"/>
      <c r="G43" s="24">
        <f>IFERROR(VLOOKUP(F43, WBS!A$4:B$200, 2, FALSE), "")</f>
        <v/>
      </c>
      <c r="I43" s="5" t="n"/>
    </row>
    <row r="44">
      <c r="A44" s="5" t="n">
        <v>41</v>
      </c>
      <c r="D44" s="21">
        <f>IF(OR(ISBLANK(I44), I44=""), $D$4, INDEX(D$4:D$200, MATCH(I44, A$4:A$200, 0)) + INDEX(E$4:E$200, MATCH(I44, A$4:A$200, 0)))</f>
        <v/>
      </c>
      <c r="E44" s="25" t="n"/>
      <c r="F44" s="26" t="n"/>
      <c r="G44" s="24">
        <f>IFERROR(VLOOKUP(F44, WBS!A$4:B$200, 2, FALSE), "")</f>
        <v/>
      </c>
      <c r="I44" s="5" t="n"/>
    </row>
    <row r="45">
      <c r="A45" s="5" t="n">
        <v>42</v>
      </c>
      <c r="D45" s="21">
        <f>IF(OR(ISBLANK(I45), I45=""), $D$4, INDEX(D$4:D$200, MATCH(I45, A$4:A$200, 0)) + INDEX(E$4:E$200, MATCH(I45, A$4:A$200, 0)))</f>
        <v/>
      </c>
      <c r="E45" s="25" t="n"/>
      <c r="F45" s="26" t="n"/>
      <c r="G45" s="24">
        <f>IFERROR(VLOOKUP(F45, WBS!A$4:B$200, 2, FALSE), "")</f>
        <v/>
      </c>
      <c r="I45" s="5" t="n"/>
    </row>
    <row r="46">
      <c r="A46" s="5" t="n">
        <v>43</v>
      </c>
      <c r="D46" s="21">
        <f>IF(OR(ISBLANK(I46), I46=""), $D$4, INDEX(D$4:D$200, MATCH(I46, A$4:A$200, 0)) + INDEX(E$4:E$200, MATCH(I46, A$4:A$200, 0)))</f>
        <v/>
      </c>
      <c r="E46" s="25" t="n"/>
      <c r="F46" s="26" t="n"/>
      <c r="G46" s="24">
        <f>IFERROR(VLOOKUP(F46, WBS!A$4:B$200, 2, FALSE), "")</f>
        <v/>
      </c>
      <c r="I46" s="5" t="n"/>
    </row>
    <row r="47">
      <c r="A47" s="5" t="n">
        <v>44</v>
      </c>
      <c r="D47" s="21">
        <f>IF(OR(ISBLANK(I47), I47=""), $D$4, INDEX(D$4:D$200, MATCH(I47, A$4:A$200, 0)) + INDEX(E$4:E$200, MATCH(I47, A$4:A$200, 0)))</f>
        <v/>
      </c>
      <c r="E47" s="25" t="n"/>
      <c r="F47" s="26" t="n"/>
      <c r="G47" s="24">
        <f>IFERROR(VLOOKUP(F47, WBS!A$4:B$200, 2, FALSE), "")</f>
        <v/>
      </c>
      <c r="I47" s="5" t="n"/>
    </row>
    <row r="48">
      <c r="A48" s="5" t="n">
        <v>45</v>
      </c>
      <c r="D48" s="21">
        <f>IF(OR(ISBLANK(I48), I48=""), $D$4, INDEX(D$4:D$200, MATCH(I48, A$4:A$200, 0)) + INDEX(E$4:E$200, MATCH(I48, A$4:A$200, 0)))</f>
        <v/>
      </c>
      <c r="E48" s="25" t="n"/>
      <c r="F48" s="26" t="n"/>
      <c r="G48" s="24">
        <f>IFERROR(VLOOKUP(F48, WBS!A$4:B$200, 2, FALSE), "")</f>
        <v/>
      </c>
      <c r="I48" s="5" t="n"/>
    </row>
    <row r="49">
      <c r="A49" s="5" t="n">
        <v>46</v>
      </c>
      <c r="D49" s="21">
        <f>IF(OR(ISBLANK(I49), I49=""), $D$4, INDEX(D$4:D$200, MATCH(I49, A$4:A$200, 0)) + INDEX(E$4:E$200, MATCH(I49, A$4:A$200, 0)))</f>
        <v/>
      </c>
      <c r="E49" s="25" t="n"/>
      <c r="F49" s="26" t="n"/>
      <c r="G49" s="24">
        <f>IFERROR(VLOOKUP(F49, WBS!A$4:B$200, 2, FALSE), "")</f>
        <v/>
      </c>
      <c r="I49" s="5" t="n"/>
    </row>
    <row r="50">
      <c r="A50" s="5" t="n">
        <v>47</v>
      </c>
      <c r="D50" s="21">
        <f>IF(OR(ISBLANK(I50), I50=""), $D$4, INDEX(D$4:D$200, MATCH(I50, A$4:A$200, 0)) + INDEX(E$4:E$200, MATCH(I50, A$4:A$200, 0)))</f>
        <v/>
      </c>
      <c r="E50" s="25" t="n"/>
      <c r="F50" s="26" t="n"/>
      <c r="G50" s="24">
        <f>IFERROR(VLOOKUP(F50, WBS!A$4:B$200, 2, FALSE), "")</f>
        <v/>
      </c>
      <c r="I50" s="5" t="n"/>
    </row>
    <row r="51">
      <c r="A51" s="5" t="n">
        <v>48</v>
      </c>
      <c r="D51" s="21">
        <f>IF(OR(ISBLANK(I51), I51=""), $D$4, INDEX(D$4:D$200, MATCH(I51, A$4:A$200, 0)) + INDEX(E$4:E$200, MATCH(I51, A$4:A$200, 0)))</f>
        <v/>
      </c>
      <c r="E51" s="25" t="n"/>
      <c r="F51" s="26" t="n"/>
      <c r="G51" s="24">
        <f>IFERROR(VLOOKUP(F51, WBS!A$4:B$200, 2, FALSE), "")</f>
        <v/>
      </c>
      <c r="I51" s="5" t="n"/>
    </row>
    <row r="52">
      <c r="A52" s="5" t="n">
        <v>49</v>
      </c>
      <c r="D52" s="21">
        <f>IF(OR(ISBLANK(I52), I52=""), $D$4, INDEX(D$4:D$200, MATCH(I52, A$4:A$200, 0)) + INDEX(E$4:E$200, MATCH(I52, A$4:A$200, 0)))</f>
        <v/>
      </c>
      <c r="E52" s="25" t="n"/>
      <c r="F52" s="26" t="n"/>
      <c r="G52" s="24">
        <f>IFERROR(VLOOKUP(F52, WBS!A$4:B$200, 2, FALSE), "")</f>
        <v/>
      </c>
      <c r="I52" s="5" t="n"/>
    </row>
    <row r="53">
      <c r="A53" s="5" t="n">
        <v>50</v>
      </c>
      <c r="D53" s="21">
        <f>IF(OR(ISBLANK(I53), I53=""), $D$4, INDEX(D$4:D$200, MATCH(I53, A$4:A$200, 0)) + INDEX(E$4:E$200, MATCH(I53, A$4:A$200, 0)))</f>
        <v/>
      </c>
      <c r="E53" s="25" t="n"/>
      <c r="F53" s="26" t="n"/>
      <c r="G53" s="24">
        <f>IFERROR(VLOOKUP(F53, WBS!A$4:B$200, 2, FALSE), "")</f>
        <v/>
      </c>
      <c r="I53" s="5" t="n"/>
    </row>
    <row r="54">
      <c r="A54" s="5" t="n">
        <v>51</v>
      </c>
      <c r="D54" s="21">
        <f>IF(OR(ISBLANK(I54), I54=""), $D$4, INDEX(D$4:D$200, MATCH(I54, A$4:A$200, 0)) + INDEX(E$4:E$200, MATCH(I54, A$4:A$200, 0)))</f>
        <v/>
      </c>
      <c r="E54" s="25" t="n"/>
      <c r="F54" s="26" t="n"/>
      <c r="G54" s="24">
        <f>IFERROR(VLOOKUP(F54, WBS!A$4:B$200, 2, FALSE), "")</f>
        <v/>
      </c>
      <c r="I54" s="5" t="n"/>
    </row>
    <row r="55">
      <c r="A55" s="5" t="n">
        <v>52</v>
      </c>
      <c r="D55" s="21">
        <f>IF(OR(ISBLANK(I55), I55=""), $D$4, INDEX(D$4:D$200, MATCH(I55, A$4:A$200, 0)) + INDEX(E$4:E$200, MATCH(I55, A$4:A$200, 0)))</f>
        <v/>
      </c>
      <c r="E55" s="25" t="n"/>
      <c r="F55" s="26" t="n"/>
      <c r="G55" s="24">
        <f>IFERROR(VLOOKUP(F55, WBS!A$4:B$200, 2, FALSE), "")</f>
        <v/>
      </c>
      <c r="I55" s="5" t="n"/>
    </row>
    <row r="56">
      <c r="A56" s="5" t="n">
        <v>53</v>
      </c>
      <c r="D56" s="21">
        <f>IF(OR(ISBLANK(I56), I56=""), $D$4, INDEX(D$4:D$200, MATCH(I56, A$4:A$200, 0)) + INDEX(E$4:E$200, MATCH(I56, A$4:A$200, 0)))</f>
        <v/>
      </c>
      <c r="E56" s="25" t="n"/>
      <c r="F56" s="26" t="n"/>
      <c r="G56" s="24">
        <f>IFERROR(VLOOKUP(F56, WBS!A$4:B$200, 2, FALSE), "")</f>
        <v/>
      </c>
      <c r="I56" s="5" t="n"/>
    </row>
    <row r="57">
      <c r="A57" s="5" t="n">
        <v>54</v>
      </c>
      <c r="D57" s="21">
        <f>IF(OR(ISBLANK(I57), I57=""), $D$4, INDEX(D$4:D$200, MATCH(I57, A$4:A$200, 0)) + INDEX(E$4:E$200, MATCH(I57, A$4:A$200, 0)))</f>
        <v/>
      </c>
      <c r="E57" s="25" t="n"/>
      <c r="F57" s="26" t="n"/>
      <c r="G57" s="24">
        <f>IFERROR(VLOOKUP(F57, WBS!A$4:B$200, 2, FALSE), "")</f>
        <v/>
      </c>
      <c r="I57" s="5" t="n"/>
    </row>
    <row r="58">
      <c r="A58" s="5" t="n">
        <v>55</v>
      </c>
      <c r="D58" s="21">
        <f>IF(OR(ISBLANK(I58), I58=""), $D$4, INDEX(D$4:D$200, MATCH(I58, A$4:A$200, 0)) + INDEX(E$4:E$200, MATCH(I58, A$4:A$200, 0)))</f>
        <v/>
      </c>
      <c r="E58" s="25" t="n"/>
      <c r="F58" s="26" t="n"/>
      <c r="G58" s="24">
        <f>IFERROR(VLOOKUP(F58, WBS!A$4:B$200, 2, FALSE), "")</f>
        <v/>
      </c>
      <c r="I58" s="5" t="n"/>
    </row>
    <row r="59">
      <c r="A59" s="5" t="n">
        <v>56</v>
      </c>
      <c r="D59" s="21">
        <f>IF(OR(ISBLANK(I59), I59=""), $D$4, INDEX(D$4:D$200, MATCH(I59, A$4:A$200, 0)) + INDEX(E$4:E$200, MATCH(I59, A$4:A$200, 0)))</f>
        <v/>
      </c>
      <c r="E59" s="25" t="n"/>
      <c r="F59" s="26" t="n"/>
      <c r="G59" s="24">
        <f>IFERROR(VLOOKUP(F59, WBS!A$4:B$200, 2, FALSE), "")</f>
        <v/>
      </c>
      <c r="I59" s="5" t="n"/>
    </row>
    <row r="60">
      <c r="A60" s="5" t="n">
        <v>57</v>
      </c>
      <c r="D60" s="21">
        <f>IF(OR(ISBLANK(I60), I60=""), $D$4, INDEX(D$4:D$200, MATCH(I60, A$4:A$200, 0)) + INDEX(E$4:E$200, MATCH(I60, A$4:A$200, 0)))</f>
        <v/>
      </c>
      <c r="E60" s="25" t="n"/>
      <c r="F60" s="26" t="n"/>
      <c r="G60" s="24">
        <f>IFERROR(VLOOKUP(F60, WBS!A$4:B$200, 2, FALSE), "")</f>
        <v/>
      </c>
      <c r="I60" s="5" t="n"/>
    </row>
    <row r="61">
      <c r="A61" s="5" t="n">
        <v>58</v>
      </c>
      <c r="D61" s="21">
        <f>IF(OR(ISBLANK(I61), I61=""), $D$4, INDEX(D$4:D$200, MATCH(I61, A$4:A$200, 0)) + INDEX(E$4:E$200, MATCH(I61, A$4:A$200, 0)))</f>
        <v/>
      </c>
      <c r="E61" s="25" t="n"/>
      <c r="F61" s="26" t="n"/>
      <c r="G61" s="24">
        <f>IFERROR(VLOOKUP(F61, WBS!A$4:B$200, 2, FALSE), "")</f>
        <v/>
      </c>
      <c r="I61" s="5" t="n"/>
    </row>
    <row r="62">
      <c r="A62" s="5" t="n">
        <v>59</v>
      </c>
      <c r="D62" s="21">
        <f>IF(OR(ISBLANK(I62), I62=""), $D$4, INDEX(D$4:D$200, MATCH(I62, A$4:A$200, 0)) + INDEX(E$4:E$200, MATCH(I62, A$4:A$200, 0)))</f>
        <v/>
      </c>
      <c r="E62" s="25" t="n"/>
      <c r="F62" s="26" t="n"/>
      <c r="G62" s="24">
        <f>IFERROR(VLOOKUP(F62, WBS!A$4:B$200, 2, FALSE), "")</f>
        <v/>
      </c>
      <c r="I62" s="5" t="n"/>
    </row>
    <row r="63">
      <c r="A63" s="5" t="n">
        <v>60</v>
      </c>
      <c r="D63" s="21">
        <f>IF(OR(ISBLANK(I63), I63=""), $D$4, INDEX(D$4:D$200, MATCH(I63, A$4:A$200, 0)) + INDEX(E$4:E$200, MATCH(I63, A$4:A$200, 0)))</f>
        <v/>
      </c>
      <c r="E63" s="25" t="n"/>
      <c r="F63" s="26" t="n"/>
      <c r="G63" s="24">
        <f>IFERROR(VLOOKUP(F63, WBS!A$4:B$200, 2, FALSE), "")</f>
        <v/>
      </c>
      <c r="I63" s="5" t="n"/>
    </row>
    <row r="64">
      <c r="A64" s="5" t="n">
        <v>61</v>
      </c>
      <c r="D64" s="21">
        <f>IF(OR(ISBLANK(I64), I64=""), $D$4, INDEX(D$4:D$200, MATCH(I64, A$4:A$200, 0)) + INDEX(E$4:E$200, MATCH(I64, A$4:A$200, 0)))</f>
        <v/>
      </c>
      <c r="E64" s="25" t="n"/>
      <c r="F64" s="26" t="n"/>
      <c r="G64" s="24">
        <f>IFERROR(VLOOKUP(F64, WBS!A$4:B$200, 2, FALSE), "")</f>
        <v/>
      </c>
      <c r="I64" s="5" t="n"/>
    </row>
    <row r="65">
      <c r="A65" s="5" t="n">
        <v>62</v>
      </c>
      <c r="D65" s="21">
        <f>IF(OR(ISBLANK(I65), I65=""), $D$4, INDEX(D$4:D$200, MATCH(I65, A$4:A$200, 0)) + INDEX(E$4:E$200, MATCH(I65, A$4:A$200, 0)))</f>
        <v/>
      </c>
      <c r="E65" s="25" t="n"/>
      <c r="F65" s="26" t="n"/>
      <c r="G65" s="24">
        <f>IFERROR(VLOOKUP(F65, WBS!A$4:B$200, 2, FALSE), "")</f>
        <v/>
      </c>
      <c r="I65" s="5" t="n"/>
    </row>
    <row r="66">
      <c r="A66" s="5" t="n">
        <v>63</v>
      </c>
      <c r="D66" s="21">
        <f>IF(OR(ISBLANK(I66), I66=""), $D$4, INDEX(D$4:D$200, MATCH(I66, A$4:A$200, 0)) + INDEX(E$4:E$200, MATCH(I66, A$4:A$200, 0)))</f>
        <v/>
      </c>
      <c r="E66" s="25" t="n"/>
      <c r="F66" s="26" t="n"/>
      <c r="G66" s="24">
        <f>IFERROR(VLOOKUP(F66, WBS!A$4:B$200, 2, FALSE), "")</f>
        <v/>
      </c>
      <c r="I66" s="5" t="n"/>
    </row>
    <row r="67">
      <c r="A67" s="5" t="n">
        <v>64</v>
      </c>
      <c r="D67" s="21">
        <f>IF(OR(ISBLANK(I67), I67=""), $D$4, INDEX(D$4:D$200, MATCH(I67, A$4:A$200, 0)) + INDEX(E$4:E$200, MATCH(I67, A$4:A$200, 0)))</f>
        <v/>
      </c>
      <c r="E67" s="25" t="n"/>
      <c r="F67" s="26" t="n"/>
      <c r="G67" s="24">
        <f>IFERROR(VLOOKUP(F67, WBS!A$4:B$200, 2, FALSE), "")</f>
        <v/>
      </c>
      <c r="I67" s="5" t="n"/>
    </row>
    <row r="68">
      <c r="A68" s="5" t="n">
        <v>65</v>
      </c>
      <c r="D68" s="21">
        <f>IF(OR(ISBLANK(I68), I68=""), $D$4, INDEX(D$4:D$200, MATCH(I68, A$4:A$200, 0)) + INDEX(E$4:E$200, MATCH(I68, A$4:A$200, 0)))</f>
        <v/>
      </c>
      <c r="E68" s="25" t="n"/>
      <c r="F68" s="26" t="n"/>
      <c r="G68" s="24">
        <f>IFERROR(VLOOKUP(F68, WBS!A$4:B$200, 2, FALSE), "")</f>
        <v/>
      </c>
      <c r="I68" s="5" t="n"/>
    </row>
    <row r="69">
      <c r="A69" s="5" t="n">
        <v>66</v>
      </c>
      <c r="D69" s="21">
        <f>IF(OR(ISBLANK(I69), I69=""), $D$4, INDEX(D$4:D$200, MATCH(I69, A$4:A$200, 0)) + INDEX(E$4:E$200, MATCH(I69, A$4:A$200, 0)))</f>
        <v/>
      </c>
      <c r="E69" s="25" t="n"/>
      <c r="F69" s="26" t="n"/>
      <c r="G69" s="24">
        <f>IFERROR(VLOOKUP(F69, WBS!A$4:B$200, 2, FALSE), "")</f>
        <v/>
      </c>
      <c r="I69" s="5" t="n"/>
    </row>
    <row r="70">
      <c r="A70" s="5" t="n">
        <v>67</v>
      </c>
      <c r="D70" s="21">
        <f>IF(OR(ISBLANK(I70), I70=""), $D$4, INDEX(D$4:D$200, MATCH(I70, A$4:A$200, 0)) + INDEX(E$4:E$200, MATCH(I70, A$4:A$200, 0)))</f>
        <v/>
      </c>
      <c r="E70" s="25" t="n"/>
      <c r="F70" s="26" t="n"/>
      <c r="G70" s="24">
        <f>IFERROR(VLOOKUP(F70, WBS!A$4:B$200, 2, FALSE), "")</f>
        <v/>
      </c>
      <c r="I70" s="5" t="n"/>
    </row>
    <row r="71">
      <c r="A71" s="5" t="n">
        <v>68</v>
      </c>
      <c r="D71" s="21">
        <f>IF(OR(ISBLANK(I71), I71=""), $D$4, INDEX(D$4:D$200, MATCH(I71, A$4:A$200, 0)) + INDEX(E$4:E$200, MATCH(I71, A$4:A$200, 0)))</f>
        <v/>
      </c>
      <c r="E71" s="25" t="n"/>
      <c r="F71" s="26" t="n"/>
      <c r="G71" s="24">
        <f>IFERROR(VLOOKUP(F71, WBS!A$4:B$200, 2, FALSE), "")</f>
        <v/>
      </c>
      <c r="I71" s="5" t="n"/>
    </row>
    <row r="72">
      <c r="A72" s="5" t="n">
        <v>69</v>
      </c>
      <c r="D72" s="21">
        <f>IF(OR(ISBLANK(I72), I72=""), $D$4, INDEX(D$4:D$200, MATCH(I72, A$4:A$200, 0)) + INDEX(E$4:E$200, MATCH(I72, A$4:A$200, 0)))</f>
        <v/>
      </c>
      <c r="E72" s="25" t="n"/>
      <c r="F72" s="26" t="n"/>
      <c r="G72" s="24">
        <f>IFERROR(VLOOKUP(F72, WBS!A$4:B$200, 2, FALSE), "")</f>
        <v/>
      </c>
      <c r="I72" s="5" t="n"/>
    </row>
    <row r="73">
      <c r="A73" s="5" t="n">
        <v>70</v>
      </c>
      <c r="D73" s="21">
        <f>IF(OR(ISBLANK(I73), I73=""), $D$4, INDEX(D$4:D$200, MATCH(I73, A$4:A$200, 0)) + INDEX(E$4:E$200, MATCH(I73, A$4:A$200, 0)))</f>
        <v/>
      </c>
      <c r="E73" s="25" t="n"/>
      <c r="F73" s="26" t="n"/>
      <c r="G73" s="24">
        <f>IFERROR(VLOOKUP(F73, WBS!A$4:B$200, 2, FALSE), "")</f>
        <v/>
      </c>
      <c r="I73" s="5" t="n"/>
    </row>
    <row r="74">
      <c r="A74" s="5" t="n">
        <v>71</v>
      </c>
      <c r="D74" s="21">
        <f>IF(OR(ISBLANK(I74), I74=""), $D$4, INDEX(D$4:D$200, MATCH(I74, A$4:A$200, 0)) + INDEX(E$4:E$200, MATCH(I74, A$4:A$200, 0)))</f>
        <v/>
      </c>
      <c r="E74" s="25" t="n"/>
      <c r="F74" s="26" t="n"/>
      <c r="G74" s="24">
        <f>IFERROR(VLOOKUP(F74, WBS!A$4:B$200, 2, FALSE), "")</f>
        <v/>
      </c>
      <c r="I74" s="5" t="n"/>
    </row>
    <row r="75">
      <c r="A75" s="5" t="n">
        <v>72</v>
      </c>
      <c r="D75" s="21">
        <f>IF(OR(ISBLANK(I75), I75=""), $D$4, INDEX(D$4:D$200, MATCH(I75, A$4:A$200, 0)) + INDEX(E$4:E$200, MATCH(I75, A$4:A$200, 0)))</f>
        <v/>
      </c>
      <c r="E75" s="25" t="n"/>
      <c r="F75" s="26" t="n"/>
      <c r="G75" s="24">
        <f>IFERROR(VLOOKUP(F75, WBS!A$4:B$200, 2, FALSE), "")</f>
        <v/>
      </c>
      <c r="I75" s="5" t="n"/>
    </row>
    <row r="76">
      <c r="A76" s="5" t="n">
        <v>73</v>
      </c>
      <c r="D76" s="21">
        <f>IF(OR(ISBLANK(I76), I76=""), $D$4, INDEX(D$4:D$200, MATCH(I76, A$4:A$200, 0)) + INDEX(E$4:E$200, MATCH(I76, A$4:A$200, 0)))</f>
        <v/>
      </c>
      <c r="E76" s="25" t="n"/>
      <c r="F76" s="26" t="n"/>
      <c r="G76" s="24">
        <f>IFERROR(VLOOKUP(F76, WBS!A$4:B$200, 2, FALSE), "")</f>
        <v/>
      </c>
      <c r="I76" s="5" t="n"/>
    </row>
    <row r="77">
      <c r="A77" s="5" t="n">
        <v>74</v>
      </c>
      <c r="D77" s="21">
        <f>IF(OR(ISBLANK(I77), I77=""), $D$4, INDEX(D$4:D$200, MATCH(I77, A$4:A$200, 0)) + INDEX(E$4:E$200, MATCH(I77, A$4:A$200, 0)))</f>
        <v/>
      </c>
      <c r="E77" s="25" t="n"/>
      <c r="F77" s="26" t="n"/>
      <c r="G77" s="24">
        <f>IFERROR(VLOOKUP(F77, WBS!A$4:B$200, 2, FALSE), "")</f>
        <v/>
      </c>
      <c r="I77" s="5" t="n"/>
    </row>
    <row r="78">
      <c r="A78" s="5" t="n">
        <v>75</v>
      </c>
      <c r="D78" s="21">
        <f>IF(OR(ISBLANK(I78), I78=""), $D$4, INDEX(D$4:D$200, MATCH(I78, A$4:A$200, 0)) + INDEX(E$4:E$200, MATCH(I78, A$4:A$200, 0)))</f>
        <v/>
      </c>
      <c r="E78" s="25" t="n"/>
      <c r="F78" s="26" t="n"/>
      <c r="G78" s="24">
        <f>IFERROR(VLOOKUP(F78, WBS!A$4:B$200, 2, FALSE), "")</f>
        <v/>
      </c>
      <c r="I78" s="5" t="n"/>
    </row>
    <row r="79">
      <c r="A79" s="5" t="n">
        <v>76</v>
      </c>
      <c r="D79" s="21">
        <f>IF(OR(ISBLANK(I79), I79=""), $D$4, INDEX(D$4:D$200, MATCH(I79, A$4:A$200, 0)) + INDEX(E$4:E$200, MATCH(I79, A$4:A$200, 0)))</f>
        <v/>
      </c>
      <c r="E79" s="25" t="n"/>
      <c r="F79" s="26" t="n"/>
      <c r="G79" s="24">
        <f>IFERROR(VLOOKUP(F79, WBS!A$4:B$200, 2, FALSE), "")</f>
        <v/>
      </c>
      <c r="I79" s="5" t="n"/>
    </row>
    <row r="80">
      <c r="A80" s="5" t="n">
        <v>77</v>
      </c>
      <c r="D80" s="21">
        <f>IF(OR(ISBLANK(I80), I80=""), $D$4, INDEX(D$4:D$200, MATCH(I80, A$4:A$200, 0)) + INDEX(E$4:E$200, MATCH(I80, A$4:A$200, 0)))</f>
        <v/>
      </c>
      <c r="E80" s="25" t="n"/>
      <c r="F80" s="26" t="n"/>
      <c r="G80" s="24">
        <f>IFERROR(VLOOKUP(F80, WBS!A$4:B$200, 2, FALSE), "")</f>
        <v/>
      </c>
      <c r="I80" s="5" t="n"/>
    </row>
    <row r="81">
      <c r="A81" s="5" t="n">
        <v>78</v>
      </c>
      <c r="D81" s="21">
        <f>IF(OR(ISBLANK(I81), I81=""), $D$4, INDEX(D$4:D$200, MATCH(I81, A$4:A$200, 0)) + INDEX(E$4:E$200, MATCH(I81, A$4:A$200, 0)))</f>
        <v/>
      </c>
      <c r="E81" s="25" t="n"/>
      <c r="F81" s="26" t="n"/>
      <c r="G81" s="24">
        <f>IFERROR(VLOOKUP(F81, WBS!A$4:B$200, 2, FALSE), "")</f>
        <v/>
      </c>
      <c r="I81" s="5" t="n"/>
    </row>
    <row r="82">
      <c r="A82" s="5" t="n">
        <v>79</v>
      </c>
      <c r="D82" s="21">
        <f>IF(OR(ISBLANK(I82), I82=""), $D$4, INDEX(D$4:D$200, MATCH(I82, A$4:A$200, 0)) + INDEX(E$4:E$200, MATCH(I82, A$4:A$200, 0)))</f>
        <v/>
      </c>
      <c r="E82" s="25" t="n"/>
      <c r="F82" s="26" t="n"/>
      <c r="G82" s="24">
        <f>IFERROR(VLOOKUP(F82, WBS!A$4:B$200, 2, FALSE), "")</f>
        <v/>
      </c>
      <c r="I82" s="5" t="n"/>
    </row>
    <row r="83">
      <c r="A83" s="5" t="n">
        <v>80</v>
      </c>
      <c r="D83" s="21">
        <f>IF(OR(ISBLANK(I83), I83=""), $D$4, INDEX(D$4:D$200, MATCH(I83, A$4:A$200, 0)) + INDEX(E$4:E$200, MATCH(I83, A$4:A$200, 0)))</f>
        <v/>
      </c>
      <c r="E83" s="25" t="n"/>
      <c r="F83" s="26" t="n"/>
      <c r="G83" s="24">
        <f>IFERROR(VLOOKUP(F83, WBS!A$4:B$200, 2, FALSE), "")</f>
        <v/>
      </c>
      <c r="I83" s="5" t="n"/>
    </row>
    <row r="84">
      <c r="A84" s="5" t="n">
        <v>81</v>
      </c>
      <c r="D84" s="21">
        <f>IF(OR(ISBLANK(I84), I84=""), $D$4, INDEX(D$4:D$200, MATCH(I84, A$4:A$200, 0)) + INDEX(E$4:E$200, MATCH(I84, A$4:A$200, 0)))</f>
        <v/>
      </c>
      <c r="E84" s="25" t="n"/>
      <c r="F84" s="26" t="n"/>
      <c r="G84" s="24">
        <f>IFERROR(VLOOKUP(F84, WBS!A$4:B$200, 2, FALSE), "")</f>
        <v/>
      </c>
      <c r="I84" s="5" t="n"/>
    </row>
    <row r="85">
      <c r="A85" s="5" t="n">
        <v>82</v>
      </c>
      <c r="D85" s="21">
        <f>IF(OR(ISBLANK(I85), I85=""), $D$4, INDEX(D$4:D$200, MATCH(I85, A$4:A$200, 0)) + INDEX(E$4:E$200, MATCH(I85, A$4:A$200, 0)))</f>
        <v/>
      </c>
      <c r="E85" s="25" t="n"/>
      <c r="F85" s="26" t="n"/>
      <c r="G85" s="24">
        <f>IFERROR(VLOOKUP(F85, WBS!A$4:B$200, 2, FALSE), "")</f>
        <v/>
      </c>
      <c r="I85" s="5" t="n"/>
    </row>
    <row r="86">
      <c r="A86" s="5" t="n">
        <v>83</v>
      </c>
      <c r="D86" s="21">
        <f>IF(OR(ISBLANK(I86), I86=""), $D$4, INDEX(D$4:D$200, MATCH(I86, A$4:A$200, 0)) + INDEX(E$4:E$200, MATCH(I86, A$4:A$200, 0)))</f>
        <v/>
      </c>
      <c r="E86" s="25" t="n"/>
      <c r="F86" s="26" t="n"/>
      <c r="G86" s="24">
        <f>IFERROR(VLOOKUP(F86, WBS!A$4:B$200, 2, FALSE), "")</f>
        <v/>
      </c>
      <c r="I86" s="5" t="n"/>
    </row>
    <row r="87">
      <c r="A87" s="5" t="n">
        <v>84</v>
      </c>
      <c r="D87" s="21">
        <f>IF(OR(ISBLANK(I87), I87=""), $D$4, INDEX(D$4:D$200, MATCH(I87, A$4:A$200, 0)) + INDEX(E$4:E$200, MATCH(I87, A$4:A$200, 0)))</f>
        <v/>
      </c>
      <c r="E87" s="25" t="n"/>
      <c r="F87" s="26" t="n"/>
      <c r="G87" s="24">
        <f>IFERROR(VLOOKUP(F87, WBS!A$4:B$200, 2, FALSE), "")</f>
        <v/>
      </c>
      <c r="I87" s="5" t="n"/>
    </row>
    <row r="88">
      <c r="A88" s="5" t="n">
        <v>85</v>
      </c>
      <c r="D88" s="21">
        <f>IF(OR(ISBLANK(I88), I88=""), $D$4, INDEX(D$4:D$200, MATCH(I88, A$4:A$200, 0)) + INDEX(E$4:E$200, MATCH(I88, A$4:A$200, 0)))</f>
        <v/>
      </c>
      <c r="E88" s="25" t="n"/>
      <c r="F88" s="26" t="n"/>
      <c r="G88" s="24">
        <f>IFERROR(VLOOKUP(F88, WBS!A$4:B$200, 2, FALSE), "")</f>
        <v/>
      </c>
      <c r="I88" s="5" t="n"/>
    </row>
    <row r="89">
      <c r="A89" s="5" t="n">
        <v>86</v>
      </c>
      <c r="D89" s="21">
        <f>IF(OR(ISBLANK(I89), I89=""), $D$4, INDEX(D$4:D$200, MATCH(I89, A$4:A$200, 0)) + INDEX(E$4:E$200, MATCH(I89, A$4:A$200, 0)))</f>
        <v/>
      </c>
      <c r="E89" s="25" t="n"/>
      <c r="F89" s="26" t="n"/>
      <c r="G89" s="24">
        <f>IFERROR(VLOOKUP(F89, WBS!A$4:B$200, 2, FALSE), "")</f>
        <v/>
      </c>
      <c r="I89" s="5" t="n"/>
    </row>
    <row r="90">
      <c r="A90" s="5" t="n">
        <v>87</v>
      </c>
      <c r="D90" s="21">
        <f>IF(OR(ISBLANK(I90), I90=""), $D$4, INDEX(D$4:D$200, MATCH(I90, A$4:A$200, 0)) + INDEX(E$4:E$200, MATCH(I90, A$4:A$200, 0)))</f>
        <v/>
      </c>
      <c r="E90" s="25" t="n"/>
      <c r="F90" s="26" t="n"/>
      <c r="G90" s="24">
        <f>IFERROR(VLOOKUP(F90, WBS!A$4:B$200, 2, FALSE), "")</f>
        <v/>
      </c>
      <c r="I90" s="5" t="n"/>
    </row>
    <row r="91">
      <c r="A91" s="5" t="n">
        <v>88</v>
      </c>
      <c r="D91" s="21">
        <f>IF(OR(ISBLANK(I91), I91=""), $D$4, INDEX(D$4:D$200, MATCH(I91, A$4:A$200, 0)) + INDEX(E$4:E$200, MATCH(I91, A$4:A$200, 0)))</f>
        <v/>
      </c>
      <c r="E91" s="25" t="n"/>
      <c r="F91" s="26" t="n"/>
      <c r="G91" s="24">
        <f>IFERROR(VLOOKUP(F91, WBS!A$4:B$200, 2, FALSE), "")</f>
        <v/>
      </c>
      <c r="I91" s="5" t="n"/>
    </row>
    <row r="92">
      <c r="A92" s="5" t="n">
        <v>89</v>
      </c>
      <c r="D92" s="21">
        <f>IF(OR(ISBLANK(I92), I92=""), $D$4, INDEX(D$4:D$200, MATCH(I92, A$4:A$200, 0)) + INDEX(E$4:E$200, MATCH(I92, A$4:A$200, 0)))</f>
        <v/>
      </c>
      <c r="E92" s="25" t="n"/>
      <c r="F92" s="26" t="n"/>
      <c r="G92" s="24">
        <f>IFERROR(VLOOKUP(F92, WBS!A$4:B$200, 2, FALSE), "")</f>
        <v/>
      </c>
      <c r="I92" s="5" t="n"/>
    </row>
    <row r="93">
      <c r="A93" s="5" t="n">
        <v>90</v>
      </c>
      <c r="D93" s="21">
        <f>IF(OR(ISBLANK(I93), I93=""), $D$4, INDEX(D$4:D$200, MATCH(I93, A$4:A$200, 0)) + INDEX(E$4:E$200, MATCH(I93, A$4:A$200, 0)))</f>
        <v/>
      </c>
      <c r="E93" s="25" t="n"/>
      <c r="F93" s="26" t="n"/>
      <c r="G93" s="24">
        <f>IFERROR(VLOOKUP(F93, WBS!A$4:B$200, 2, FALSE), "")</f>
        <v/>
      </c>
      <c r="I93" s="5" t="n"/>
    </row>
    <row r="94">
      <c r="A94" s="5" t="n">
        <v>91</v>
      </c>
      <c r="D94" s="21">
        <f>IF(OR(ISBLANK(I94), I94=""), $D$4, INDEX(D$4:D$200, MATCH(I94, A$4:A$200, 0)) + INDEX(E$4:E$200, MATCH(I94, A$4:A$200, 0)))</f>
        <v/>
      </c>
      <c r="E94" s="25" t="n"/>
      <c r="F94" s="26" t="n"/>
      <c r="G94" s="24">
        <f>IFERROR(VLOOKUP(F94, WBS!A$4:B$200, 2, FALSE), "")</f>
        <v/>
      </c>
      <c r="I94" s="5" t="n"/>
    </row>
    <row r="95">
      <c r="A95" s="5" t="n">
        <v>92</v>
      </c>
      <c r="D95" s="21">
        <f>IF(OR(ISBLANK(I95), I95=""), $D$4, INDEX(D$4:D$200, MATCH(I95, A$4:A$200, 0)) + INDEX(E$4:E$200, MATCH(I95, A$4:A$200, 0)))</f>
        <v/>
      </c>
      <c r="E95" s="25" t="n"/>
      <c r="F95" s="26" t="n"/>
      <c r="G95" s="24">
        <f>IFERROR(VLOOKUP(F95, WBS!A$4:B$200, 2, FALSE), "")</f>
        <v/>
      </c>
      <c r="I95" s="5" t="n"/>
    </row>
    <row r="96">
      <c r="A96" s="5" t="n">
        <v>93</v>
      </c>
      <c r="D96" s="21">
        <f>IF(OR(ISBLANK(I96), I96=""), $D$4, INDEX(D$4:D$200, MATCH(I96, A$4:A$200, 0)) + INDEX(E$4:E$200, MATCH(I96, A$4:A$200, 0)))</f>
        <v/>
      </c>
      <c r="E96" s="25" t="n"/>
      <c r="F96" s="26" t="n"/>
      <c r="G96" s="24">
        <f>IFERROR(VLOOKUP(F96, WBS!A$4:B$200, 2, FALSE), "")</f>
        <v/>
      </c>
      <c r="I96" s="5" t="n"/>
    </row>
    <row r="97">
      <c r="A97" s="5" t="n">
        <v>94</v>
      </c>
      <c r="D97" s="21">
        <f>IF(OR(ISBLANK(I97), I97=""), $D$4, INDEX(D$4:D$200, MATCH(I97, A$4:A$200, 0)) + INDEX(E$4:E$200, MATCH(I97, A$4:A$200, 0)))</f>
        <v/>
      </c>
      <c r="E97" s="25" t="n"/>
      <c r="F97" s="26" t="n"/>
      <c r="G97" s="24">
        <f>IFERROR(VLOOKUP(F97, WBS!A$4:B$200, 2, FALSE), "")</f>
        <v/>
      </c>
      <c r="I97" s="5" t="n"/>
    </row>
    <row r="98">
      <c r="A98" s="5" t="n">
        <v>95</v>
      </c>
      <c r="D98" s="21">
        <f>IF(OR(ISBLANK(I98), I98=""), $D$4, INDEX(D$4:D$200, MATCH(I98, A$4:A$200, 0)) + INDEX(E$4:E$200, MATCH(I98, A$4:A$200, 0)))</f>
        <v/>
      </c>
      <c r="E98" s="25" t="n"/>
      <c r="F98" s="26" t="n"/>
      <c r="G98" s="24">
        <f>IFERROR(VLOOKUP(F98, WBS!A$4:B$200, 2, FALSE), "")</f>
        <v/>
      </c>
      <c r="I98" s="5" t="n"/>
    </row>
    <row r="99">
      <c r="A99" s="5" t="n">
        <v>96</v>
      </c>
      <c r="D99" s="21">
        <f>IF(OR(ISBLANK(I99), I99=""), $D$4, INDEX(D$4:D$200, MATCH(I99, A$4:A$200, 0)) + INDEX(E$4:E$200, MATCH(I99, A$4:A$200, 0)))</f>
        <v/>
      </c>
      <c r="E99" s="25" t="n"/>
      <c r="F99" s="26" t="n"/>
      <c r="G99" s="24">
        <f>IFERROR(VLOOKUP(F99, WBS!A$4:B$200, 2, FALSE), "")</f>
        <v/>
      </c>
      <c r="I99" s="5" t="n"/>
    </row>
    <row r="100">
      <c r="A100" s="5" t="n">
        <v>97</v>
      </c>
      <c r="D100" s="21">
        <f>IF(OR(ISBLANK(I100), I100=""), $D$4, INDEX(D$4:D$200, MATCH(I100, A$4:A$200, 0)) + INDEX(E$4:E$200, MATCH(I100, A$4:A$200, 0)))</f>
        <v/>
      </c>
      <c r="E100" s="25" t="n"/>
      <c r="F100" s="26" t="n"/>
      <c r="G100" s="24">
        <f>IFERROR(VLOOKUP(F100, WBS!A$4:B$200, 2, FALSE), "")</f>
        <v/>
      </c>
      <c r="I100" s="5" t="n"/>
    </row>
    <row r="101">
      <c r="A101" s="5" t="n">
        <v>98</v>
      </c>
      <c r="D101" s="21">
        <f>IF(OR(ISBLANK(I101), I101=""), $D$4, INDEX(D$4:D$200, MATCH(I101, A$4:A$200, 0)) + INDEX(E$4:E$200, MATCH(I101, A$4:A$200, 0)))</f>
        <v/>
      </c>
      <c r="E101" s="25" t="n"/>
      <c r="F101" s="26" t="n"/>
      <c r="G101" s="24">
        <f>IFERROR(VLOOKUP(F101, WBS!A$4:B$200, 2, FALSE), "")</f>
        <v/>
      </c>
      <c r="I101" s="5" t="n"/>
    </row>
    <row r="102">
      <c r="A102" s="5" t="n">
        <v>99</v>
      </c>
      <c r="D102" s="21">
        <f>IF(OR(ISBLANK(I102), I102=""), $D$4, INDEX(D$4:D$200, MATCH(I102, A$4:A$200, 0)) + INDEX(E$4:E$200, MATCH(I102, A$4:A$200, 0)))</f>
        <v/>
      </c>
      <c r="E102" s="25" t="n"/>
      <c r="F102" s="26" t="n"/>
      <c r="G102" s="24">
        <f>IFERROR(VLOOKUP(F102, WBS!A$4:B$200, 2, FALSE), "")</f>
        <v/>
      </c>
      <c r="I102" s="5" t="n"/>
    </row>
    <row r="103">
      <c r="A103" s="5" t="n">
        <v>100</v>
      </c>
      <c r="D103" s="21">
        <f>IF(OR(ISBLANK(I103), I103=""), $D$4, INDEX(D$4:D$200, MATCH(I103, A$4:A$200, 0)) + INDEX(E$4:E$200, MATCH(I103, A$4:A$200, 0)))</f>
        <v/>
      </c>
      <c r="E103" s="25" t="n"/>
      <c r="F103" s="26" t="n"/>
      <c r="G103" s="24">
        <f>IFERROR(VLOOKUP(F103, WBS!A$4:B$200, 2, FALSE), "")</f>
        <v/>
      </c>
      <c r="I103" s="5" t="n"/>
    </row>
    <row r="104">
      <c r="A104" s="5" t="n">
        <v>101</v>
      </c>
      <c r="D104" s="21">
        <f>IF(OR(ISBLANK(I104), I104=""), $D$4, INDEX(D$4:D$200, MATCH(I104, A$4:A$200, 0)) + INDEX(E$4:E$200, MATCH(I104, A$4:A$200, 0)))</f>
        <v/>
      </c>
      <c r="E104" s="25" t="n"/>
      <c r="F104" s="26" t="n"/>
      <c r="G104" s="24">
        <f>IFERROR(VLOOKUP(F104, WBS!A$4:B$200, 2, FALSE), "")</f>
        <v/>
      </c>
      <c r="I104" s="5" t="n"/>
    </row>
    <row r="105">
      <c r="A105" s="5" t="n">
        <v>102</v>
      </c>
      <c r="D105" s="21">
        <f>IF(OR(ISBLANK(I105), I105=""), $D$4, INDEX(D$4:D$200, MATCH(I105, A$4:A$200, 0)) + INDEX(E$4:E$200, MATCH(I105, A$4:A$200, 0)))</f>
        <v/>
      </c>
      <c r="E105" s="25" t="n"/>
      <c r="F105" s="26" t="n"/>
      <c r="G105" s="24">
        <f>IFERROR(VLOOKUP(F105, WBS!A$4:B$200, 2, FALSE), "")</f>
        <v/>
      </c>
      <c r="I105" s="5" t="n"/>
    </row>
    <row r="106">
      <c r="A106" s="5" t="n">
        <v>103</v>
      </c>
      <c r="D106" s="21">
        <f>IF(OR(ISBLANK(I106), I106=""), $D$4, INDEX(D$4:D$200, MATCH(I106, A$4:A$200, 0)) + INDEX(E$4:E$200, MATCH(I106, A$4:A$200, 0)))</f>
        <v/>
      </c>
      <c r="E106" s="25" t="n"/>
      <c r="F106" s="26" t="n"/>
      <c r="G106" s="24">
        <f>IFERROR(VLOOKUP(F106, WBS!A$4:B$200, 2, FALSE), "")</f>
        <v/>
      </c>
      <c r="I106" s="5" t="n"/>
    </row>
    <row r="107">
      <c r="A107" s="5" t="n">
        <v>104</v>
      </c>
      <c r="D107" s="21">
        <f>IF(OR(ISBLANK(I107), I107=""), $D$4, INDEX(D$4:D$200, MATCH(I107, A$4:A$200, 0)) + INDEX(E$4:E$200, MATCH(I107, A$4:A$200, 0)))</f>
        <v/>
      </c>
      <c r="E107" s="25" t="n"/>
      <c r="F107" s="26" t="n"/>
      <c r="G107" s="24">
        <f>IFERROR(VLOOKUP(F107, WBS!A$4:B$200, 2, FALSE), "")</f>
        <v/>
      </c>
      <c r="I107" s="5" t="n"/>
    </row>
    <row r="108">
      <c r="A108" s="5" t="n">
        <v>105</v>
      </c>
      <c r="D108" s="21">
        <f>IF(OR(ISBLANK(I108), I108=""), $D$4, INDEX(D$4:D$200, MATCH(I108, A$4:A$200, 0)) + INDEX(E$4:E$200, MATCH(I108, A$4:A$200, 0)))</f>
        <v/>
      </c>
      <c r="E108" s="25" t="n"/>
      <c r="F108" s="26" t="n"/>
      <c r="G108" s="24">
        <f>IFERROR(VLOOKUP(F108, WBS!A$4:B$200, 2, FALSE), "")</f>
        <v/>
      </c>
      <c r="I108" s="5" t="n"/>
    </row>
    <row r="109">
      <c r="A109" s="5" t="n">
        <v>106</v>
      </c>
      <c r="D109" s="21">
        <f>IF(OR(ISBLANK(I109), I109=""), $D$4, INDEX(D$4:D$200, MATCH(I109, A$4:A$200, 0)) + INDEX(E$4:E$200, MATCH(I109, A$4:A$200, 0)))</f>
        <v/>
      </c>
      <c r="E109" s="25" t="n"/>
      <c r="F109" s="26" t="n"/>
      <c r="G109" s="24">
        <f>IFERROR(VLOOKUP(F109, WBS!A$4:B$200, 2, FALSE), "")</f>
        <v/>
      </c>
      <c r="I109" s="5" t="n"/>
    </row>
    <row r="110">
      <c r="A110" s="5" t="n">
        <v>107</v>
      </c>
      <c r="D110" s="21">
        <f>IF(OR(ISBLANK(I110), I110=""), $D$4, INDEX(D$4:D$200, MATCH(I110, A$4:A$200, 0)) + INDEX(E$4:E$200, MATCH(I110, A$4:A$200, 0)))</f>
        <v/>
      </c>
      <c r="E110" s="25" t="n"/>
      <c r="F110" s="26" t="n"/>
      <c r="G110" s="24">
        <f>IFERROR(VLOOKUP(F110, WBS!A$4:B$200, 2, FALSE), "")</f>
        <v/>
      </c>
      <c r="I110" s="5" t="n"/>
    </row>
    <row r="111">
      <c r="A111" s="5" t="n">
        <v>108</v>
      </c>
      <c r="D111" s="21">
        <f>IF(OR(ISBLANK(I111), I111=""), $D$4, INDEX(D$4:D$200, MATCH(I111, A$4:A$200, 0)) + INDEX(E$4:E$200, MATCH(I111, A$4:A$200, 0)))</f>
        <v/>
      </c>
      <c r="E111" s="25" t="n"/>
      <c r="F111" s="26" t="n"/>
      <c r="G111" s="24">
        <f>IFERROR(VLOOKUP(F111, WBS!A$4:B$200, 2, FALSE), "")</f>
        <v/>
      </c>
      <c r="I111" s="5" t="n"/>
    </row>
    <row r="112">
      <c r="A112" s="5" t="n">
        <v>109</v>
      </c>
      <c r="D112" s="21">
        <f>IF(OR(ISBLANK(I112), I112=""), $D$4, INDEX(D$4:D$200, MATCH(I112, A$4:A$200, 0)) + INDEX(E$4:E$200, MATCH(I112, A$4:A$200, 0)))</f>
        <v/>
      </c>
      <c r="E112" s="25" t="n"/>
      <c r="F112" s="26" t="n"/>
      <c r="G112" s="24">
        <f>IFERROR(VLOOKUP(F112, WBS!A$4:B$200, 2, FALSE), "")</f>
        <v/>
      </c>
      <c r="I112" s="5" t="n"/>
    </row>
    <row r="113">
      <c r="A113" s="5" t="n">
        <v>110</v>
      </c>
      <c r="D113" s="21">
        <f>IF(OR(ISBLANK(I113), I113=""), $D$4, INDEX(D$4:D$200, MATCH(I113, A$4:A$200, 0)) + INDEX(E$4:E$200, MATCH(I113, A$4:A$200, 0)))</f>
        <v/>
      </c>
      <c r="E113" s="25" t="n"/>
      <c r="F113" s="26" t="n"/>
      <c r="G113" s="24">
        <f>IFERROR(VLOOKUP(F113, WBS!A$4:B$200, 2, FALSE), "")</f>
        <v/>
      </c>
      <c r="I113" s="5" t="n"/>
    </row>
    <row r="114">
      <c r="A114" s="5" t="n">
        <v>111</v>
      </c>
      <c r="D114" s="21">
        <f>IF(OR(ISBLANK(I114), I114=""), $D$4, INDEX(D$4:D$200, MATCH(I114, A$4:A$200, 0)) + INDEX(E$4:E$200, MATCH(I114, A$4:A$200, 0)))</f>
        <v/>
      </c>
      <c r="E114" s="25" t="n"/>
      <c r="F114" s="26" t="n"/>
      <c r="G114" s="24">
        <f>IFERROR(VLOOKUP(F114, WBS!A$4:B$200, 2, FALSE), "")</f>
        <v/>
      </c>
      <c r="I114" s="5" t="n"/>
    </row>
    <row r="115">
      <c r="A115" s="5" t="n">
        <v>112</v>
      </c>
      <c r="D115" s="21">
        <f>IF(OR(ISBLANK(I115), I115=""), $D$4, INDEX(D$4:D$200, MATCH(I115, A$4:A$200, 0)) + INDEX(E$4:E$200, MATCH(I115, A$4:A$200, 0)))</f>
        <v/>
      </c>
      <c r="E115" s="25" t="n"/>
      <c r="F115" s="26" t="n"/>
      <c r="G115" s="24">
        <f>IFERROR(VLOOKUP(F115, WBS!A$4:B$200, 2, FALSE), "")</f>
        <v/>
      </c>
      <c r="I115" s="5" t="n"/>
    </row>
    <row r="116">
      <c r="A116" s="5" t="n">
        <v>113</v>
      </c>
      <c r="D116" s="21">
        <f>IF(OR(ISBLANK(I116), I116=""), $D$4, INDEX(D$4:D$200, MATCH(I116, A$4:A$200, 0)) + INDEX(E$4:E$200, MATCH(I116, A$4:A$200, 0)))</f>
        <v/>
      </c>
      <c r="E116" s="25" t="n"/>
      <c r="F116" s="26" t="n"/>
      <c r="G116" s="24">
        <f>IFERROR(VLOOKUP(F116, WBS!A$4:B$200, 2, FALSE), "")</f>
        <v/>
      </c>
      <c r="I116" s="5" t="n"/>
    </row>
    <row r="117">
      <c r="A117" s="5" t="n">
        <v>114</v>
      </c>
      <c r="D117" s="21">
        <f>IF(OR(ISBLANK(I117), I117=""), $D$4, INDEX(D$4:D$200, MATCH(I117, A$4:A$200, 0)) + INDEX(E$4:E$200, MATCH(I117, A$4:A$200, 0)))</f>
        <v/>
      </c>
      <c r="E117" s="25" t="n"/>
      <c r="F117" s="26" t="n"/>
      <c r="G117" s="24">
        <f>IFERROR(VLOOKUP(F117, WBS!A$4:B$200, 2, FALSE), "")</f>
        <v/>
      </c>
      <c r="I117" s="5" t="n"/>
    </row>
    <row r="118">
      <c r="A118" s="5" t="n">
        <v>115</v>
      </c>
      <c r="D118" s="21">
        <f>IF(OR(ISBLANK(I118), I118=""), $D$4, INDEX(D$4:D$200, MATCH(I118, A$4:A$200, 0)) + INDEX(E$4:E$200, MATCH(I118, A$4:A$200, 0)))</f>
        <v/>
      </c>
      <c r="E118" s="25" t="n"/>
      <c r="F118" s="26" t="n"/>
      <c r="G118" s="24">
        <f>IFERROR(VLOOKUP(F118, WBS!A$4:B$200, 2, FALSE), "")</f>
        <v/>
      </c>
      <c r="I118" s="5" t="n"/>
    </row>
    <row r="119">
      <c r="A119" s="5" t="n">
        <v>116</v>
      </c>
      <c r="D119" s="21">
        <f>IF(OR(ISBLANK(I119), I119=""), $D$4, INDEX(D$4:D$200, MATCH(I119, A$4:A$200, 0)) + INDEX(E$4:E$200, MATCH(I119, A$4:A$200, 0)))</f>
        <v/>
      </c>
      <c r="E119" s="25" t="n"/>
      <c r="F119" s="26" t="n"/>
      <c r="G119" s="24">
        <f>IFERROR(VLOOKUP(F119, WBS!A$4:B$200, 2, FALSE), "")</f>
        <v/>
      </c>
      <c r="I119" s="5" t="n"/>
    </row>
    <row r="120">
      <c r="A120" s="5" t="n">
        <v>117</v>
      </c>
      <c r="D120" s="21">
        <f>IF(OR(ISBLANK(I120), I120=""), $D$4, INDEX(D$4:D$200, MATCH(I120, A$4:A$200, 0)) + INDEX(E$4:E$200, MATCH(I120, A$4:A$200, 0)))</f>
        <v/>
      </c>
      <c r="E120" s="25" t="n"/>
      <c r="F120" s="26" t="n"/>
      <c r="G120" s="24">
        <f>IFERROR(VLOOKUP(F120, WBS!A$4:B$200, 2, FALSE), "")</f>
        <v/>
      </c>
      <c r="I120" s="5" t="n"/>
    </row>
    <row r="121">
      <c r="A121" s="5" t="n">
        <v>118</v>
      </c>
      <c r="D121" s="21">
        <f>IF(OR(ISBLANK(I121), I121=""), $D$4, INDEX(D$4:D$200, MATCH(I121, A$4:A$200, 0)) + INDEX(E$4:E$200, MATCH(I121, A$4:A$200, 0)))</f>
        <v/>
      </c>
      <c r="E121" s="25" t="n"/>
      <c r="F121" s="26" t="n"/>
      <c r="G121" s="24">
        <f>IFERROR(VLOOKUP(F121, WBS!A$4:B$200, 2, FALSE), "")</f>
        <v/>
      </c>
      <c r="I121" s="5" t="n"/>
    </row>
    <row r="122">
      <c r="A122" s="5" t="n">
        <v>119</v>
      </c>
      <c r="D122" s="21">
        <f>IF(OR(ISBLANK(I122), I122=""), $D$4, INDEX(D$4:D$200, MATCH(I122, A$4:A$200, 0)) + INDEX(E$4:E$200, MATCH(I122, A$4:A$200, 0)))</f>
        <v/>
      </c>
      <c r="E122" s="25" t="n"/>
      <c r="F122" s="26" t="n"/>
      <c r="G122" s="24">
        <f>IFERROR(VLOOKUP(F122, WBS!A$4:B$200, 2, FALSE), "")</f>
        <v/>
      </c>
      <c r="I122" s="5" t="n"/>
    </row>
    <row r="123">
      <c r="A123" s="5" t="n">
        <v>120</v>
      </c>
      <c r="D123" s="21">
        <f>IF(OR(ISBLANK(I123), I123=""), $D$4, INDEX(D$4:D$200, MATCH(I123, A$4:A$200, 0)) + INDEX(E$4:E$200, MATCH(I123, A$4:A$200, 0)))</f>
        <v/>
      </c>
      <c r="E123" s="25" t="n"/>
      <c r="F123" s="26" t="n"/>
      <c r="G123" s="24">
        <f>IFERROR(VLOOKUP(F123, WBS!A$4:B$200, 2, FALSE), "")</f>
        <v/>
      </c>
      <c r="I123" s="5" t="n"/>
    </row>
    <row r="124">
      <c r="A124" s="5" t="n">
        <v>121</v>
      </c>
      <c r="D124" s="21">
        <f>IF(OR(ISBLANK(I124), I124=""), $D$4, INDEX(D$4:D$200, MATCH(I124, A$4:A$200, 0)) + INDEX(E$4:E$200, MATCH(I124, A$4:A$200, 0)))</f>
        <v/>
      </c>
      <c r="E124" s="25" t="n"/>
      <c r="F124" s="26" t="n"/>
      <c r="G124" s="24">
        <f>IFERROR(VLOOKUP(F124, WBS!A$4:B$200, 2, FALSE), "")</f>
        <v/>
      </c>
      <c r="I124" s="5" t="n"/>
    </row>
    <row r="125">
      <c r="A125" s="5" t="n">
        <v>122</v>
      </c>
      <c r="D125" s="21">
        <f>IF(OR(ISBLANK(I125), I125=""), $D$4, INDEX(D$4:D$200, MATCH(I125, A$4:A$200, 0)) + INDEX(E$4:E$200, MATCH(I125, A$4:A$200, 0)))</f>
        <v/>
      </c>
      <c r="E125" s="25" t="n"/>
      <c r="F125" s="26" t="n"/>
      <c r="G125" s="24">
        <f>IFERROR(VLOOKUP(F125, WBS!A$4:B$200, 2, FALSE), "")</f>
        <v/>
      </c>
      <c r="I125" s="5" t="n"/>
    </row>
    <row r="126">
      <c r="A126" s="5" t="n">
        <v>123</v>
      </c>
      <c r="D126" s="21">
        <f>IF(OR(ISBLANK(I126), I126=""), $D$4, INDEX(D$4:D$200, MATCH(I126, A$4:A$200, 0)) + INDEX(E$4:E$200, MATCH(I126, A$4:A$200, 0)))</f>
        <v/>
      </c>
      <c r="E126" s="25" t="n"/>
      <c r="F126" s="26" t="n"/>
      <c r="G126" s="24">
        <f>IFERROR(VLOOKUP(F126, WBS!A$4:B$200, 2, FALSE), "")</f>
        <v/>
      </c>
      <c r="I126" s="5" t="n"/>
    </row>
    <row r="127">
      <c r="A127" s="5" t="n">
        <v>124</v>
      </c>
      <c r="D127" s="21">
        <f>IF(OR(ISBLANK(I127), I127=""), $D$4, INDEX(D$4:D$200, MATCH(I127, A$4:A$200, 0)) + INDEX(E$4:E$200, MATCH(I127, A$4:A$200, 0)))</f>
        <v/>
      </c>
      <c r="E127" s="25" t="n"/>
      <c r="F127" s="26" t="n"/>
      <c r="G127" s="24">
        <f>IFERROR(VLOOKUP(F127, WBS!A$4:B$200, 2, FALSE), "")</f>
        <v/>
      </c>
      <c r="I127" s="5" t="n"/>
    </row>
    <row r="128">
      <c r="A128" s="5" t="n">
        <v>125</v>
      </c>
      <c r="D128" s="21">
        <f>IF(OR(ISBLANK(I128), I128=""), $D$4, INDEX(D$4:D$200, MATCH(I128, A$4:A$200, 0)) + INDEX(E$4:E$200, MATCH(I128, A$4:A$200, 0)))</f>
        <v/>
      </c>
      <c r="E128" s="25" t="n"/>
      <c r="F128" s="26" t="n"/>
      <c r="G128" s="24">
        <f>IFERROR(VLOOKUP(F128, WBS!A$4:B$200, 2, FALSE), "")</f>
        <v/>
      </c>
      <c r="I128" s="5" t="n"/>
    </row>
    <row r="129">
      <c r="A129" s="5" t="n">
        <v>126</v>
      </c>
      <c r="D129" s="21">
        <f>IF(OR(ISBLANK(I129), I129=""), $D$4, INDEX(D$4:D$200, MATCH(I129, A$4:A$200, 0)) + INDEX(E$4:E$200, MATCH(I129, A$4:A$200, 0)))</f>
        <v/>
      </c>
      <c r="E129" s="25" t="n"/>
      <c r="F129" s="26" t="n"/>
      <c r="G129" s="24">
        <f>IFERROR(VLOOKUP(F129, WBS!A$4:B$200, 2, FALSE), "")</f>
        <v/>
      </c>
      <c r="I129" s="5" t="n"/>
    </row>
    <row r="130">
      <c r="A130" s="5" t="n">
        <v>127</v>
      </c>
      <c r="D130" s="21">
        <f>IF(OR(ISBLANK(I130), I130=""), $D$4, INDEX(D$4:D$200, MATCH(I130, A$4:A$200, 0)) + INDEX(E$4:E$200, MATCH(I130, A$4:A$200, 0)))</f>
        <v/>
      </c>
      <c r="E130" s="25" t="n"/>
      <c r="F130" s="26" t="n"/>
      <c r="G130" s="24">
        <f>IFERROR(VLOOKUP(F130, WBS!A$4:B$200, 2, FALSE), "")</f>
        <v/>
      </c>
      <c r="I130" s="5" t="n"/>
    </row>
    <row r="131">
      <c r="A131" s="5" t="n">
        <v>128</v>
      </c>
      <c r="D131" s="21">
        <f>IF(OR(ISBLANK(I131), I131=""), $D$4, INDEX(D$4:D$200, MATCH(I131, A$4:A$200, 0)) + INDEX(E$4:E$200, MATCH(I131, A$4:A$200, 0)))</f>
        <v/>
      </c>
      <c r="E131" s="25" t="n"/>
      <c r="F131" s="26" t="n"/>
      <c r="G131" s="24">
        <f>IFERROR(VLOOKUP(F131, WBS!A$4:B$200, 2, FALSE), "")</f>
        <v/>
      </c>
      <c r="I131" s="5" t="n"/>
    </row>
    <row r="132">
      <c r="A132" s="5" t="n">
        <v>129</v>
      </c>
      <c r="D132" s="21">
        <f>IF(OR(ISBLANK(I132), I132=""), $D$4, INDEX(D$4:D$200, MATCH(I132, A$4:A$200, 0)) + INDEX(E$4:E$200, MATCH(I132, A$4:A$200, 0)))</f>
        <v/>
      </c>
      <c r="E132" s="25" t="n"/>
      <c r="F132" s="26" t="n"/>
      <c r="G132" s="24">
        <f>IFERROR(VLOOKUP(F132, WBS!A$4:B$200, 2, FALSE), "")</f>
        <v/>
      </c>
      <c r="I132" s="5" t="n"/>
    </row>
    <row r="133">
      <c r="A133" s="5" t="n">
        <v>130</v>
      </c>
      <c r="D133" s="21">
        <f>IF(OR(ISBLANK(I133), I133=""), $D$4, INDEX(D$4:D$200, MATCH(I133, A$4:A$200, 0)) + INDEX(E$4:E$200, MATCH(I133, A$4:A$200, 0)))</f>
        <v/>
      </c>
      <c r="E133" s="25" t="n"/>
      <c r="F133" s="26" t="n"/>
      <c r="G133" s="24">
        <f>IFERROR(VLOOKUP(F133, WBS!A$4:B$200, 2, FALSE), "")</f>
        <v/>
      </c>
      <c r="I133" s="5" t="n"/>
    </row>
    <row r="134">
      <c r="A134" s="5" t="n">
        <v>131</v>
      </c>
      <c r="D134" s="21">
        <f>IF(OR(ISBLANK(I134), I134=""), $D$4, INDEX(D$4:D$200, MATCH(I134, A$4:A$200, 0)) + INDEX(E$4:E$200, MATCH(I134, A$4:A$200, 0)))</f>
        <v/>
      </c>
      <c r="E134" s="25" t="n"/>
      <c r="F134" s="26" t="n"/>
      <c r="G134" s="24">
        <f>IFERROR(VLOOKUP(F134, WBS!A$4:B$200, 2, FALSE), "")</f>
        <v/>
      </c>
      <c r="I134" s="5" t="n"/>
    </row>
    <row r="135">
      <c r="A135" s="5" t="n">
        <v>132</v>
      </c>
      <c r="D135" s="21">
        <f>IF(OR(ISBLANK(I135), I135=""), $D$4, INDEX(D$4:D$200, MATCH(I135, A$4:A$200, 0)) + INDEX(E$4:E$200, MATCH(I135, A$4:A$200, 0)))</f>
        <v/>
      </c>
      <c r="E135" s="25" t="n"/>
      <c r="F135" s="26" t="n"/>
      <c r="G135" s="24">
        <f>IFERROR(VLOOKUP(F135, WBS!A$4:B$200, 2, FALSE), "")</f>
        <v/>
      </c>
      <c r="I135" s="5" t="n"/>
    </row>
    <row r="136">
      <c r="A136" s="5" t="n">
        <v>133</v>
      </c>
      <c r="D136" s="21">
        <f>IF(OR(ISBLANK(I136), I136=""), $D$4, INDEX(D$4:D$200, MATCH(I136, A$4:A$200, 0)) + INDEX(E$4:E$200, MATCH(I136, A$4:A$200, 0)))</f>
        <v/>
      </c>
      <c r="E136" s="25" t="n"/>
      <c r="F136" s="26" t="n"/>
      <c r="G136" s="24">
        <f>IFERROR(VLOOKUP(F136, WBS!A$4:B$200, 2, FALSE), "")</f>
        <v/>
      </c>
      <c r="I136" s="5" t="n"/>
    </row>
    <row r="137">
      <c r="A137" s="5" t="n">
        <v>134</v>
      </c>
      <c r="D137" s="21">
        <f>IF(OR(ISBLANK(I137), I137=""), $D$4, INDEX(D$4:D$200, MATCH(I137, A$4:A$200, 0)) + INDEX(E$4:E$200, MATCH(I137, A$4:A$200, 0)))</f>
        <v/>
      </c>
      <c r="E137" s="25" t="n"/>
      <c r="F137" s="26" t="n"/>
      <c r="G137" s="24">
        <f>IFERROR(VLOOKUP(F137, WBS!A$4:B$200, 2, FALSE), "")</f>
        <v/>
      </c>
      <c r="I137" s="5" t="n"/>
    </row>
    <row r="138">
      <c r="A138" s="5" t="n">
        <v>135</v>
      </c>
      <c r="D138" s="21">
        <f>IF(OR(ISBLANK(I138), I138=""), $D$4, INDEX(D$4:D$200, MATCH(I138, A$4:A$200, 0)) + INDEX(E$4:E$200, MATCH(I138, A$4:A$200, 0)))</f>
        <v/>
      </c>
      <c r="E138" s="25" t="n"/>
      <c r="F138" s="26" t="n"/>
      <c r="G138" s="24">
        <f>IFERROR(VLOOKUP(F138, WBS!A$4:B$200, 2, FALSE), "")</f>
        <v/>
      </c>
      <c r="I138" s="5" t="n"/>
    </row>
    <row r="139">
      <c r="A139" s="5" t="n">
        <v>136</v>
      </c>
      <c r="D139" s="21">
        <f>IF(OR(ISBLANK(I139), I139=""), $D$4, INDEX(D$4:D$200, MATCH(I139, A$4:A$200, 0)) + INDEX(E$4:E$200, MATCH(I139, A$4:A$200, 0)))</f>
        <v/>
      </c>
      <c r="E139" s="25" t="n"/>
      <c r="F139" s="26" t="n"/>
      <c r="G139" s="24">
        <f>IFERROR(VLOOKUP(F139, WBS!A$4:B$200, 2, FALSE), "")</f>
        <v/>
      </c>
      <c r="I139" s="5" t="n"/>
    </row>
    <row r="140">
      <c r="A140" s="5" t="n">
        <v>137</v>
      </c>
      <c r="D140" s="21">
        <f>IF(OR(ISBLANK(I140), I140=""), $D$4, INDEX(D$4:D$200, MATCH(I140, A$4:A$200, 0)) + INDEX(E$4:E$200, MATCH(I140, A$4:A$200, 0)))</f>
        <v/>
      </c>
      <c r="E140" s="25" t="n"/>
      <c r="F140" s="26" t="n"/>
      <c r="G140" s="24">
        <f>IFERROR(VLOOKUP(F140, WBS!A$4:B$200, 2, FALSE), "")</f>
        <v/>
      </c>
      <c r="I140" s="5" t="n"/>
    </row>
    <row r="141">
      <c r="A141" s="5" t="n">
        <v>138</v>
      </c>
      <c r="D141" s="21">
        <f>IF(OR(ISBLANK(I141), I141=""), $D$4, INDEX(D$4:D$200, MATCH(I141, A$4:A$200, 0)) + INDEX(E$4:E$200, MATCH(I141, A$4:A$200, 0)))</f>
        <v/>
      </c>
      <c r="E141" s="25" t="n"/>
      <c r="F141" s="26" t="n"/>
      <c r="G141" s="24">
        <f>IFERROR(VLOOKUP(F141, WBS!A$4:B$200, 2, FALSE), "")</f>
        <v/>
      </c>
      <c r="I141" s="5" t="n"/>
    </row>
    <row r="142">
      <c r="A142" s="5" t="n">
        <v>139</v>
      </c>
      <c r="D142" s="21">
        <f>IF(OR(ISBLANK(I142), I142=""), $D$4, INDEX(D$4:D$200, MATCH(I142, A$4:A$200, 0)) + INDEX(E$4:E$200, MATCH(I142, A$4:A$200, 0)))</f>
        <v/>
      </c>
      <c r="E142" s="25" t="n"/>
      <c r="F142" s="26" t="n"/>
      <c r="G142" s="24">
        <f>IFERROR(VLOOKUP(F142, WBS!A$4:B$200, 2, FALSE), "")</f>
        <v/>
      </c>
      <c r="I142" s="5" t="n"/>
    </row>
    <row r="143">
      <c r="A143" s="5" t="n">
        <v>140</v>
      </c>
      <c r="D143" s="21">
        <f>IF(OR(ISBLANK(I143), I143=""), $D$4, INDEX(D$4:D$200, MATCH(I143, A$4:A$200, 0)) + INDEX(E$4:E$200, MATCH(I143, A$4:A$200, 0)))</f>
        <v/>
      </c>
      <c r="E143" s="25" t="n"/>
      <c r="F143" s="26" t="n"/>
      <c r="G143" s="24">
        <f>IFERROR(VLOOKUP(F143, WBS!A$4:B$200, 2, FALSE), "")</f>
        <v/>
      </c>
      <c r="I143" s="5" t="n"/>
    </row>
    <row r="144">
      <c r="A144" s="5" t="n">
        <v>141</v>
      </c>
      <c r="D144" s="21">
        <f>IF(OR(ISBLANK(I144), I144=""), $D$4, INDEX(D$4:D$200, MATCH(I144, A$4:A$200, 0)) + INDEX(E$4:E$200, MATCH(I144, A$4:A$200, 0)))</f>
        <v/>
      </c>
      <c r="E144" s="25" t="n"/>
      <c r="F144" s="26" t="n"/>
      <c r="G144" s="24">
        <f>IFERROR(VLOOKUP(F144, WBS!A$4:B$200, 2, FALSE), "")</f>
        <v/>
      </c>
      <c r="I144" s="5" t="n"/>
    </row>
    <row r="145">
      <c r="A145" s="5" t="n">
        <v>142</v>
      </c>
      <c r="D145" s="21">
        <f>IF(OR(ISBLANK(I145), I145=""), $D$4, INDEX(D$4:D$200, MATCH(I145, A$4:A$200, 0)) + INDEX(E$4:E$200, MATCH(I145, A$4:A$200, 0)))</f>
        <v/>
      </c>
      <c r="E145" s="25" t="n"/>
      <c r="F145" s="26" t="n"/>
      <c r="G145" s="24">
        <f>IFERROR(VLOOKUP(F145, WBS!A$4:B$200, 2, FALSE), "")</f>
        <v/>
      </c>
      <c r="I145" s="5" t="n"/>
    </row>
    <row r="146">
      <c r="A146" s="5" t="n">
        <v>143</v>
      </c>
      <c r="D146" s="21">
        <f>IF(OR(ISBLANK(I146), I146=""), $D$4, INDEX(D$4:D$200, MATCH(I146, A$4:A$200, 0)) + INDEX(E$4:E$200, MATCH(I146, A$4:A$200, 0)))</f>
        <v/>
      </c>
      <c r="E146" s="25" t="n"/>
      <c r="F146" s="26" t="n"/>
      <c r="G146" s="24">
        <f>IFERROR(VLOOKUP(F146, WBS!A$4:B$200, 2, FALSE), "")</f>
        <v/>
      </c>
      <c r="I146" s="5" t="n"/>
    </row>
    <row r="147">
      <c r="A147" s="5" t="n">
        <v>144</v>
      </c>
      <c r="D147" s="21">
        <f>IF(OR(ISBLANK(I147), I147=""), $D$4, INDEX(D$4:D$200, MATCH(I147, A$4:A$200, 0)) + INDEX(E$4:E$200, MATCH(I147, A$4:A$200, 0)))</f>
        <v/>
      </c>
      <c r="E147" s="25" t="n"/>
      <c r="F147" s="26" t="n"/>
      <c r="G147" s="24">
        <f>IFERROR(VLOOKUP(F147, WBS!A$4:B$200, 2, FALSE), "")</f>
        <v/>
      </c>
      <c r="I147" s="5" t="n"/>
    </row>
    <row r="148">
      <c r="A148" s="5" t="n">
        <v>145</v>
      </c>
      <c r="D148" s="21">
        <f>IF(OR(ISBLANK(I148), I148=""), $D$4, INDEX(D$4:D$200, MATCH(I148, A$4:A$200, 0)) + INDEX(E$4:E$200, MATCH(I148, A$4:A$200, 0)))</f>
        <v/>
      </c>
      <c r="E148" s="25" t="n"/>
      <c r="F148" s="26" t="n"/>
      <c r="G148" s="24">
        <f>IFERROR(VLOOKUP(F148, WBS!A$4:B$200, 2, FALSE), "")</f>
        <v/>
      </c>
      <c r="I148" s="5" t="n"/>
    </row>
    <row r="149">
      <c r="A149" s="5" t="n">
        <v>146</v>
      </c>
      <c r="D149" s="21">
        <f>IF(OR(ISBLANK(I149), I149=""), $D$4, INDEX(D$4:D$200, MATCH(I149, A$4:A$200, 0)) + INDEX(E$4:E$200, MATCH(I149, A$4:A$200, 0)))</f>
        <v/>
      </c>
      <c r="E149" s="25" t="n"/>
      <c r="F149" s="26" t="n"/>
      <c r="G149" s="24">
        <f>IFERROR(VLOOKUP(F149, WBS!A$4:B$200, 2, FALSE), "")</f>
        <v/>
      </c>
      <c r="I149" s="5" t="n"/>
    </row>
    <row r="150">
      <c r="A150" s="5" t="n">
        <v>147</v>
      </c>
      <c r="D150" s="21">
        <f>IF(OR(ISBLANK(I150), I150=""), $D$4, INDEX(D$4:D$200, MATCH(I150, A$4:A$200, 0)) + INDEX(E$4:E$200, MATCH(I150, A$4:A$200, 0)))</f>
        <v/>
      </c>
      <c r="E150" s="25" t="n"/>
      <c r="F150" s="26" t="n"/>
      <c r="G150" s="24">
        <f>IFERROR(VLOOKUP(F150, WBS!A$4:B$200, 2, FALSE), "")</f>
        <v/>
      </c>
      <c r="I150" s="5" t="n"/>
    </row>
    <row r="151">
      <c r="A151" s="5" t="n">
        <v>148</v>
      </c>
      <c r="D151" s="21">
        <f>IF(OR(ISBLANK(I151), I151=""), $D$4, INDEX(D$4:D$200, MATCH(I151, A$4:A$200, 0)) + INDEX(E$4:E$200, MATCH(I151, A$4:A$200, 0)))</f>
        <v/>
      </c>
      <c r="E151" s="25" t="n"/>
      <c r="F151" s="26" t="n"/>
      <c r="G151" s="24">
        <f>IFERROR(VLOOKUP(F151, WBS!A$4:B$200, 2, FALSE), "")</f>
        <v/>
      </c>
      <c r="I151" s="5" t="n"/>
    </row>
    <row r="152">
      <c r="A152" s="5" t="n">
        <v>149</v>
      </c>
      <c r="D152" s="21">
        <f>IF(OR(ISBLANK(I152), I152=""), $D$4, INDEX(D$4:D$200, MATCH(I152, A$4:A$200, 0)) + INDEX(E$4:E$200, MATCH(I152, A$4:A$200, 0)))</f>
        <v/>
      </c>
      <c r="E152" s="25" t="n"/>
      <c r="F152" s="26" t="n"/>
      <c r="G152" s="24">
        <f>IFERROR(VLOOKUP(F152, WBS!A$4:B$200, 2, FALSE), "")</f>
        <v/>
      </c>
      <c r="I152" s="5" t="n"/>
    </row>
    <row r="153">
      <c r="A153" s="5" t="n">
        <v>150</v>
      </c>
      <c r="D153" s="21">
        <f>IF(OR(ISBLANK(I153), I153=""), $D$4, INDEX(D$4:D$200, MATCH(I153, A$4:A$200, 0)) + INDEX(E$4:E$200, MATCH(I153, A$4:A$200, 0)))</f>
        <v/>
      </c>
      <c r="E153" s="25" t="n"/>
      <c r="F153" s="26" t="n"/>
      <c r="G153" s="24">
        <f>IFERROR(VLOOKUP(F153, WBS!A$4:B$200, 2, FALSE), "")</f>
        <v/>
      </c>
      <c r="I153" s="5" t="n"/>
    </row>
    <row r="154">
      <c r="A154" s="5" t="n">
        <v>151</v>
      </c>
      <c r="D154" s="21">
        <f>IF(OR(ISBLANK(I154), I154=""), $D$4, INDEX(D$4:D$200, MATCH(I154, A$4:A$200, 0)) + INDEX(E$4:E$200, MATCH(I154, A$4:A$200, 0)))</f>
        <v/>
      </c>
      <c r="E154" s="25" t="n"/>
      <c r="F154" s="26" t="n"/>
      <c r="G154" s="24">
        <f>IFERROR(VLOOKUP(F154, WBS!A$4:B$200, 2, FALSE), "")</f>
        <v/>
      </c>
      <c r="I154" s="5" t="n"/>
    </row>
    <row r="155">
      <c r="A155" s="5" t="n">
        <v>152</v>
      </c>
      <c r="D155" s="21">
        <f>IF(OR(ISBLANK(I155), I155=""), $D$4, INDEX(D$4:D$200, MATCH(I155, A$4:A$200, 0)) + INDEX(E$4:E$200, MATCH(I155, A$4:A$200, 0)))</f>
        <v/>
      </c>
      <c r="E155" s="25" t="n"/>
      <c r="F155" s="26" t="n"/>
      <c r="G155" s="24">
        <f>IFERROR(VLOOKUP(F155, WBS!A$4:B$200, 2, FALSE), "")</f>
        <v/>
      </c>
      <c r="I155" s="5" t="n"/>
    </row>
    <row r="156">
      <c r="A156" s="5" t="n">
        <v>153</v>
      </c>
      <c r="D156" s="21">
        <f>IF(OR(ISBLANK(I156), I156=""), $D$4, INDEX(D$4:D$200, MATCH(I156, A$4:A$200, 0)) + INDEX(E$4:E$200, MATCH(I156, A$4:A$200, 0)))</f>
        <v/>
      </c>
      <c r="E156" s="25" t="n"/>
      <c r="F156" s="26" t="n"/>
      <c r="G156" s="24">
        <f>IFERROR(VLOOKUP(F156, WBS!A$4:B$200, 2, FALSE), "")</f>
        <v/>
      </c>
      <c r="I156" s="5" t="n"/>
    </row>
    <row r="157">
      <c r="A157" s="5" t="n">
        <v>154</v>
      </c>
      <c r="D157" s="21">
        <f>IF(OR(ISBLANK(I157), I157=""), $D$4, INDEX(D$4:D$200, MATCH(I157, A$4:A$200, 0)) + INDEX(E$4:E$200, MATCH(I157, A$4:A$200, 0)))</f>
        <v/>
      </c>
      <c r="E157" s="25" t="n"/>
      <c r="F157" s="26" t="n"/>
      <c r="G157" s="24">
        <f>IFERROR(VLOOKUP(F157, WBS!A$4:B$200, 2, FALSE), "")</f>
        <v/>
      </c>
      <c r="I157" s="5" t="n"/>
    </row>
    <row r="158">
      <c r="A158" s="5" t="n">
        <v>155</v>
      </c>
      <c r="D158" s="21">
        <f>IF(OR(ISBLANK(I158), I158=""), $D$4, INDEX(D$4:D$200, MATCH(I158, A$4:A$200, 0)) + INDEX(E$4:E$200, MATCH(I158, A$4:A$200, 0)))</f>
        <v/>
      </c>
      <c r="E158" s="25" t="n"/>
      <c r="F158" s="26" t="n"/>
      <c r="G158" s="24">
        <f>IFERROR(VLOOKUP(F158, WBS!A$4:B$200, 2, FALSE), "")</f>
        <v/>
      </c>
      <c r="I158" s="5" t="n"/>
    </row>
    <row r="159">
      <c r="A159" s="5" t="n">
        <v>156</v>
      </c>
      <c r="D159" s="21">
        <f>IF(OR(ISBLANK(I159), I159=""), $D$4, INDEX(D$4:D$200, MATCH(I159, A$4:A$200, 0)) + INDEX(E$4:E$200, MATCH(I159, A$4:A$200, 0)))</f>
        <v/>
      </c>
      <c r="E159" s="25" t="n"/>
      <c r="F159" s="26" t="n"/>
      <c r="G159" s="24">
        <f>IFERROR(VLOOKUP(F159, WBS!A$4:B$200, 2, FALSE), "")</f>
        <v/>
      </c>
      <c r="I159" s="5" t="n"/>
    </row>
    <row r="160">
      <c r="A160" s="5" t="n">
        <v>157</v>
      </c>
      <c r="D160" s="21">
        <f>IF(OR(ISBLANK(I160), I160=""), $D$4, INDEX(D$4:D$200, MATCH(I160, A$4:A$200, 0)) + INDEX(E$4:E$200, MATCH(I160, A$4:A$200, 0)))</f>
        <v/>
      </c>
      <c r="E160" s="25" t="n"/>
      <c r="F160" s="26" t="n"/>
      <c r="G160" s="24">
        <f>IFERROR(VLOOKUP(F160, WBS!A$4:B$200, 2, FALSE), "")</f>
        <v/>
      </c>
      <c r="I160" s="5" t="n"/>
    </row>
    <row r="161">
      <c r="A161" s="5" t="n">
        <v>158</v>
      </c>
      <c r="D161" s="21">
        <f>IF(OR(ISBLANK(I161), I161=""), $D$4, INDEX(D$4:D$200, MATCH(I161, A$4:A$200, 0)) + INDEX(E$4:E$200, MATCH(I161, A$4:A$200, 0)))</f>
        <v/>
      </c>
      <c r="E161" s="25" t="n"/>
      <c r="F161" s="26" t="n"/>
      <c r="G161" s="24">
        <f>IFERROR(VLOOKUP(F161, WBS!A$4:B$200, 2, FALSE), "")</f>
        <v/>
      </c>
      <c r="I161" s="5" t="n"/>
    </row>
    <row r="162">
      <c r="A162" s="5" t="n">
        <v>159</v>
      </c>
      <c r="D162" s="21">
        <f>IF(OR(ISBLANK(I162), I162=""), $D$4, INDEX(D$4:D$200, MATCH(I162, A$4:A$200, 0)) + INDEX(E$4:E$200, MATCH(I162, A$4:A$200, 0)))</f>
        <v/>
      </c>
      <c r="E162" s="25" t="n"/>
      <c r="F162" s="26" t="n"/>
      <c r="G162" s="24">
        <f>IFERROR(VLOOKUP(F162, WBS!A$4:B$200, 2, FALSE), "")</f>
        <v/>
      </c>
      <c r="I162" s="5" t="n"/>
    </row>
    <row r="163">
      <c r="A163" s="5" t="n">
        <v>160</v>
      </c>
      <c r="D163" s="21">
        <f>IF(OR(ISBLANK(I163), I163=""), $D$4, INDEX(D$4:D$200, MATCH(I163, A$4:A$200, 0)) + INDEX(E$4:E$200, MATCH(I163, A$4:A$200, 0)))</f>
        <v/>
      </c>
      <c r="E163" s="25" t="n"/>
      <c r="F163" s="26" t="n"/>
      <c r="G163" s="24">
        <f>IFERROR(VLOOKUP(F163, WBS!A$4:B$200, 2, FALSE), "")</f>
        <v/>
      </c>
      <c r="I163" s="5" t="n"/>
    </row>
    <row r="164">
      <c r="A164" s="5" t="n">
        <v>161</v>
      </c>
      <c r="D164" s="21">
        <f>IF(OR(ISBLANK(I164), I164=""), $D$4, INDEX(D$4:D$200, MATCH(I164, A$4:A$200, 0)) + INDEX(E$4:E$200, MATCH(I164, A$4:A$200, 0)))</f>
        <v/>
      </c>
      <c r="E164" s="25" t="n"/>
      <c r="F164" s="26" t="n"/>
      <c r="G164" s="24">
        <f>IFERROR(VLOOKUP(F164, WBS!A$4:B$200, 2, FALSE), "")</f>
        <v/>
      </c>
      <c r="I164" s="5" t="n"/>
    </row>
    <row r="165">
      <c r="A165" s="5" t="n">
        <v>162</v>
      </c>
      <c r="D165" s="21">
        <f>IF(OR(ISBLANK(I165), I165=""), $D$4, INDEX(D$4:D$200, MATCH(I165, A$4:A$200, 0)) + INDEX(E$4:E$200, MATCH(I165, A$4:A$200, 0)))</f>
        <v/>
      </c>
      <c r="E165" s="25" t="n"/>
      <c r="F165" s="26" t="n"/>
      <c r="G165" s="24">
        <f>IFERROR(VLOOKUP(F165, WBS!A$4:B$200, 2, FALSE), "")</f>
        <v/>
      </c>
      <c r="I165" s="5" t="n"/>
    </row>
    <row r="166">
      <c r="A166" s="5" t="n">
        <v>163</v>
      </c>
      <c r="D166" s="21">
        <f>IF(OR(ISBLANK(I166), I166=""), $D$4, INDEX(D$4:D$200, MATCH(I166, A$4:A$200, 0)) + INDEX(E$4:E$200, MATCH(I166, A$4:A$200, 0)))</f>
        <v/>
      </c>
      <c r="E166" s="25" t="n"/>
      <c r="F166" s="26" t="n"/>
      <c r="G166" s="24">
        <f>IFERROR(VLOOKUP(F166, WBS!A$4:B$200, 2, FALSE), "")</f>
        <v/>
      </c>
      <c r="I166" s="5" t="n"/>
    </row>
    <row r="167">
      <c r="A167" s="5" t="n">
        <v>164</v>
      </c>
      <c r="D167" s="21">
        <f>IF(OR(ISBLANK(I167), I167=""), $D$4, INDEX(D$4:D$200, MATCH(I167, A$4:A$200, 0)) + INDEX(E$4:E$200, MATCH(I167, A$4:A$200, 0)))</f>
        <v/>
      </c>
      <c r="E167" s="25" t="n"/>
      <c r="F167" s="26" t="n"/>
      <c r="G167" s="24">
        <f>IFERROR(VLOOKUP(F167, WBS!A$4:B$200, 2, FALSE), "")</f>
        <v/>
      </c>
      <c r="I167" s="5" t="n"/>
    </row>
    <row r="168">
      <c r="A168" s="5" t="n">
        <v>165</v>
      </c>
      <c r="D168" s="21">
        <f>IF(OR(ISBLANK(I168), I168=""), $D$4, INDEX(D$4:D$200, MATCH(I168, A$4:A$200, 0)) + INDEX(E$4:E$200, MATCH(I168, A$4:A$200, 0)))</f>
        <v/>
      </c>
      <c r="E168" s="25" t="n"/>
      <c r="F168" s="26" t="n"/>
      <c r="G168" s="24">
        <f>IFERROR(VLOOKUP(F168, WBS!A$4:B$200, 2, FALSE), "")</f>
        <v/>
      </c>
      <c r="I168" s="5" t="n"/>
    </row>
    <row r="169">
      <c r="A169" s="5" t="n">
        <v>166</v>
      </c>
      <c r="D169" s="21">
        <f>IF(OR(ISBLANK(I169), I169=""), $D$4, INDEX(D$4:D$200, MATCH(I169, A$4:A$200, 0)) + INDEX(E$4:E$200, MATCH(I169, A$4:A$200, 0)))</f>
        <v/>
      </c>
      <c r="E169" s="25" t="n"/>
      <c r="F169" s="26" t="n"/>
      <c r="G169" s="24">
        <f>IFERROR(VLOOKUP(F169, WBS!A$4:B$200, 2, FALSE), "")</f>
        <v/>
      </c>
      <c r="I169" s="5" t="n"/>
    </row>
    <row r="170">
      <c r="A170" s="5" t="n">
        <v>167</v>
      </c>
      <c r="D170" s="21">
        <f>IF(OR(ISBLANK(I170), I170=""), $D$4, INDEX(D$4:D$200, MATCH(I170, A$4:A$200, 0)) + INDEX(E$4:E$200, MATCH(I170, A$4:A$200, 0)))</f>
        <v/>
      </c>
      <c r="E170" s="25" t="n"/>
      <c r="F170" s="26" t="n"/>
      <c r="G170" s="24">
        <f>IFERROR(VLOOKUP(F170, WBS!A$4:B$200, 2, FALSE), "")</f>
        <v/>
      </c>
      <c r="I170" s="5" t="n"/>
    </row>
    <row r="171">
      <c r="A171" s="5" t="n">
        <v>168</v>
      </c>
      <c r="D171" s="21">
        <f>IF(OR(ISBLANK(I171), I171=""), $D$4, INDEX(D$4:D$200, MATCH(I171, A$4:A$200, 0)) + INDEX(E$4:E$200, MATCH(I171, A$4:A$200, 0)))</f>
        <v/>
      </c>
      <c r="E171" s="25" t="n"/>
      <c r="F171" s="26" t="n"/>
      <c r="G171" s="24">
        <f>IFERROR(VLOOKUP(F171, WBS!A$4:B$200, 2, FALSE), "")</f>
        <v/>
      </c>
      <c r="I171" s="5" t="n"/>
    </row>
    <row r="172">
      <c r="A172" s="5" t="n">
        <v>169</v>
      </c>
      <c r="D172" s="21">
        <f>IF(OR(ISBLANK(I172), I172=""), $D$4, INDEX(D$4:D$200, MATCH(I172, A$4:A$200, 0)) + INDEX(E$4:E$200, MATCH(I172, A$4:A$200, 0)))</f>
        <v/>
      </c>
      <c r="E172" s="25" t="n"/>
      <c r="F172" s="26" t="n"/>
      <c r="G172" s="24">
        <f>IFERROR(VLOOKUP(F172, WBS!A$4:B$200, 2, FALSE), "")</f>
        <v/>
      </c>
      <c r="I172" s="5" t="n"/>
    </row>
    <row r="173">
      <c r="A173" s="5" t="n">
        <v>170</v>
      </c>
      <c r="D173" s="21">
        <f>IF(OR(ISBLANK(I173), I173=""), $D$4, INDEX(D$4:D$200, MATCH(I173, A$4:A$200, 0)) + INDEX(E$4:E$200, MATCH(I173, A$4:A$200, 0)))</f>
        <v/>
      </c>
      <c r="E173" s="25" t="n"/>
      <c r="F173" s="26" t="n"/>
      <c r="G173" s="24">
        <f>IFERROR(VLOOKUP(F173, WBS!A$4:B$200, 2, FALSE), "")</f>
        <v/>
      </c>
      <c r="I173" s="5" t="n"/>
    </row>
    <row r="174">
      <c r="A174" s="5" t="n">
        <v>171</v>
      </c>
      <c r="D174" s="21">
        <f>IF(OR(ISBLANK(I174), I174=""), $D$4, INDEX(D$4:D$200, MATCH(I174, A$4:A$200, 0)) + INDEX(E$4:E$200, MATCH(I174, A$4:A$200, 0)))</f>
        <v/>
      </c>
      <c r="E174" s="25" t="n"/>
      <c r="F174" s="26" t="n"/>
      <c r="G174" s="24">
        <f>IFERROR(VLOOKUP(F174, WBS!A$4:B$200, 2, FALSE), "")</f>
        <v/>
      </c>
      <c r="I174" s="5" t="n"/>
    </row>
    <row r="175">
      <c r="A175" s="5" t="n">
        <v>172</v>
      </c>
      <c r="D175" s="21">
        <f>IF(OR(ISBLANK(I175), I175=""), $D$4, INDEX(D$4:D$200, MATCH(I175, A$4:A$200, 0)) + INDEX(E$4:E$200, MATCH(I175, A$4:A$200, 0)))</f>
        <v/>
      </c>
      <c r="E175" s="25" t="n"/>
      <c r="F175" s="26" t="n"/>
      <c r="G175" s="24">
        <f>IFERROR(VLOOKUP(F175, WBS!A$4:B$200, 2, FALSE), "")</f>
        <v/>
      </c>
      <c r="I175" s="5" t="n"/>
    </row>
    <row r="176">
      <c r="A176" s="5" t="n">
        <v>173</v>
      </c>
      <c r="D176" s="21">
        <f>IF(OR(ISBLANK(I176), I176=""), $D$4, INDEX(D$4:D$200, MATCH(I176, A$4:A$200, 0)) + INDEX(E$4:E$200, MATCH(I176, A$4:A$200, 0)))</f>
        <v/>
      </c>
      <c r="E176" s="25" t="n"/>
      <c r="F176" s="26" t="n"/>
      <c r="G176" s="24">
        <f>IFERROR(VLOOKUP(F176, WBS!A$4:B$200, 2, FALSE), "")</f>
        <v/>
      </c>
      <c r="I176" s="5" t="n"/>
    </row>
    <row r="177">
      <c r="A177" s="5" t="n">
        <v>174</v>
      </c>
      <c r="D177" s="21">
        <f>IF(OR(ISBLANK(I177), I177=""), $D$4, INDEX(D$4:D$200, MATCH(I177, A$4:A$200, 0)) + INDEX(E$4:E$200, MATCH(I177, A$4:A$200, 0)))</f>
        <v/>
      </c>
      <c r="E177" s="25" t="n"/>
      <c r="F177" s="26" t="n"/>
      <c r="G177" s="24">
        <f>IFERROR(VLOOKUP(F177, WBS!A$4:B$200, 2, FALSE), "")</f>
        <v/>
      </c>
      <c r="I177" s="5" t="n"/>
    </row>
    <row r="178">
      <c r="A178" s="5" t="n">
        <v>175</v>
      </c>
      <c r="D178" s="21">
        <f>IF(OR(ISBLANK(I178), I178=""), $D$4, INDEX(D$4:D$200, MATCH(I178, A$4:A$200, 0)) + INDEX(E$4:E$200, MATCH(I178, A$4:A$200, 0)))</f>
        <v/>
      </c>
      <c r="E178" s="25" t="n"/>
      <c r="F178" s="26" t="n"/>
      <c r="G178" s="24">
        <f>IFERROR(VLOOKUP(F178, WBS!A$4:B$200, 2, FALSE), "")</f>
        <v/>
      </c>
      <c r="I178" s="5" t="n"/>
    </row>
    <row r="179">
      <c r="A179" s="5" t="n">
        <v>176</v>
      </c>
      <c r="D179" s="21">
        <f>IF(OR(ISBLANK(I179), I179=""), $D$4, INDEX(D$4:D$200, MATCH(I179, A$4:A$200, 0)) + INDEX(E$4:E$200, MATCH(I179, A$4:A$200, 0)))</f>
        <v/>
      </c>
      <c r="E179" s="25" t="n"/>
      <c r="F179" s="26" t="n"/>
      <c r="G179" s="24">
        <f>IFERROR(VLOOKUP(F179, WBS!A$4:B$200, 2, FALSE), "")</f>
        <v/>
      </c>
      <c r="I179" s="5" t="n"/>
    </row>
    <row r="180">
      <c r="A180" s="5" t="n">
        <v>177</v>
      </c>
      <c r="D180" s="21">
        <f>IF(OR(ISBLANK(I180), I180=""), $D$4, INDEX(D$4:D$200, MATCH(I180, A$4:A$200, 0)) + INDEX(E$4:E$200, MATCH(I180, A$4:A$200, 0)))</f>
        <v/>
      </c>
      <c r="E180" s="25" t="n"/>
      <c r="F180" s="26" t="n"/>
      <c r="G180" s="24">
        <f>IFERROR(VLOOKUP(F180, WBS!A$4:B$200, 2, FALSE), "")</f>
        <v/>
      </c>
      <c r="I180" s="5" t="n"/>
    </row>
    <row r="181">
      <c r="A181" s="5" t="n">
        <v>178</v>
      </c>
      <c r="D181" s="21">
        <f>IF(OR(ISBLANK(I181), I181=""), $D$4, INDEX(D$4:D$200, MATCH(I181, A$4:A$200, 0)) + INDEX(E$4:E$200, MATCH(I181, A$4:A$200, 0)))</f>
        <v/>
      </c>
      <c r="E181" s="25" t="n"/>
      <c r="F181" s="26" t="n"/>
      <c r="G181" s="24">
        <f>IFERROR(VLOOKUP(F181, WBS!A$4:B$200, 2, FALSE), "")</f>
        <v/>
      </c>
      <c r="I181" s="5" t="n"/>
    </row>
    <row r="182">
      <c r="A182" s="5" t="n">
        <v>179</v>
      </c>
      <c r="D182" s="21">
        <f>IF(OR(ISBLANK(I182), I182=""), $D$4, INDEX(D$4:D$200, MATCH(I182, A$4:A$200, 0)) + INDEX(E$4:E$200, MATCH(I182, A$4:A$200, 0)))</f>
        <v/>
      </c>
      <c r="E182" s="25" t="n"/>
      <c r="F182" s="26" t="n"/>
      <c r="G182" s="24">
        <f>IFERROR(VLOOKUP(F182, WBS!A$4:B$200, 2, FALSE), "")</f>
        <v/>
      </c>
      <c r="I182" s="5" t="n"/>
    </row>
    <row r="183">
      <c r="A183" s="5" t="n">
        <v>180</v>
      </c>
      <c r="D183" s="21">
        <f>IF(OR(ISBLANK(I183), I183=""), $D$4, INDEX(D$4:D$200, MATCH(I183, A$4:A$200, 0)) + INDEX(E$4:E$200, MATCH(I183, A$4:A$200, 0)))</f>
        <v/>
      </c>
      <c r="E183" s="25" t="n"/>
      <c r="F183" s="26" t="n"/>
      <c r="G183" s="24">
        <f>IFERROR(VLOOKUP(F183, WBS!A$4:B$200, 2, FALSE), "")</f>
        <v/>
      </c>
      <c r="I183" s="5" t="n"/>
    </row>
    <row r="184">
      <c r="A184" s="5" t="n">
        <v>181</v>
      </c>
      <c r="D184" s="21">
        <f>IF(OR(ISBLANK(I184), I184=""), $D$4, INDEX(D$4:D$200, MATCH(I184, A$4:A$200, 0)) + INDEX(E$4:E$200, MATCH(I184, A$4:A$200, 0)))</f>
        <v/>
      </c>
      <c r="E184" s="25" t="n"/>
      <c r="F184" s="26" t="n"/>
      <c r="G184" s="24">
        <f>IFERROR(VLOOKUP(F184, WBS!A$4:B$200, 2, FALSE), "")</f>
        <v/>
      </c>
      <c r="I184" s="5" t="n"/>
    </row>
    <row r="185">
      <c r="A185" s="5" t="n">
        <v>182</v>
      </c>
      <c r="D185" s="21">
        <f>IF(OR(ISBLANK(I185), I185=""), $D$4, INDEX(D$4:D$200, MATCH(I185, A$4:A$200, 0)) + INDEX(E$4:E$200, MATCH(I185, A$4:A$200, 0)))</f>
        <v/>
      </c>
      <c r="E185" s="25" t="n"/>
      <c r="F185" s="26" t="n"/>
      <c r="G185" s="24">
        <f>IFERROR(VLOOKUP(F185, WBS!A$4:B$200, 2, FALSE), "")</f>
        <v/>
      </c>
      <c r="I185" s="5" t="n"/>
    </row>
    <row r="186">
      <c r="A186" s="5" t="n">
        <v>183</v>
      </c>
      <c r="D186" s="21">
        <f>IF(OR(ISBLANK(I186), I186=""), $D$4, INDEX(D$4:D$200, MATCH(I186, A$4:A$200, 0)) + INDEX(E$4:E$200, MATCH(I186, A$4:A$200, 0)))</f>
        <v/>
      </c>
      <c r="E186" s="25" t="n"/>
      <c r="F186" s="26" t="n"/>
      <c r="G186" s="24">
        <f>IFERROR(VLOOKUP(F186, WBS!A$4:B$200, 2, FALSE), "")</f>
        <v/>
      </c>
      <c r="I186" s="5" t="n"/>
    </row>
    <row r="187">
      <c r="A187" s="5" t="n">
        <v>184</v>
      </c>
      <c r="D187" s="21">
        <f>IF(OR(ISBLANK(I187), I187=""), $D$4, INDEX(D$4:D$200, MATCH(I187, A$4:A$200, 0)) + INDEX(E$4:E$200, MATCH(I187, A$4:A$200, 0)))</f>
        <v/>
      </c>
      <c r="E187" s="25" t="n"/>
      <c r="F187" s="26" t="n"/>
      <c r="G187" s="24">
        <f>IFERROR(VLOOKUP(F187, WBS!A$4:B$200, 2, FALSE), "")</f>
        <v/>
      </c>
      <c r="I187" s="5" t="n"/>
    </row>
    <row r="188">
      <c r="A188" s="5" t="n">
        <v>185</v>
      </c>
      <c r="D188" s="21">
        <f>IF(OR(ISBLANK(I188), I188=""), $D$4, INDEX(D$4:D$200, MATCH(I188, A$4:A$200, 0)) + INDEX(E$4:E$200, MATCH(I188, A$4:A$200, 0)))</f>
        <v/>
      </c>
      <c r="E188" s="25" t="n"/>
      <c r="F188" s="26" t="n"/>
      <c r="G188" s="24">
        <f>IFERROR(VLOOKUP(F188, WBS!A$4:B$200, 2, FALSE), "")</f>
        <v/>
      </c>
      <c r="I188" s="5" t="n"/>
    </row>
    <row r="189">
      <c r="A189" s="5" t="n">
        <v>186</v>
      </c>
      <c r="D189" s="21">
        <f>IF(OR(ISBLANK(I189), I189=""), $D$4, INDEX(D$4:D$200, MATCH(I189, A$4:A$200, 0)) + INDEX(E$4:E$200, MATCH(I189, A$4:A$200, 0)))</f>
        <v/>
      </c>
      <c r="E189" s="25" t="n"/>
      <c r="F189" s="26" t="n"/>
      <c r="G189" s="24">
        <f>IFERROR(VLOOKUP(F189, WBS!A$4:B$200, 2, FALSE), "")</f>
        <v/>
      </c>
      <c r="I189" s="5" t="n"/>
    </row>
    <row r="190">
      <c r="A190" s="5" t="n">
        <v>187</v>
      </c>
      <c r="D190" s="21">
        <f>IF(OR(ISBLANK(I190), I190=""), $D$4, INDEX(D$4:D$200, MATCH(I190, A$4:A$200, 0)) + INDEX(E$4:E$200, MATCH(I190, A$4:A$200, 0)))</f>
        <v/>
      </c>
      <c r="E190" s="25" t="n"/>
      <c r="F190" s="26" t="n"/>
      <c r="G190" s="24">
        <f>IFERROR(VLOOKUP(F190, WBS!A$4:B$200, 2, FALSE), "")</f>
        <v/>
      </c>
      <c r="I190" s="5" t="n"/>
    </row>
    <row r="191">
      <c r="A191" s="5" t="n">
        <v>188</v>
      </c>
      <c r="D191" s="21">
        <f>IF(OR(ISBLANK(I191), I191=""), $D$4, INDEX(D$4:D$200, MATCH(I191, A$4:A$200, 0)) + INDEX(E$4:E$200, MATCH(I191, A$4:A$200, 0)))</f>
        <v/>
      </c>
      <c r="E191" s="25" t="n"/>
      <c r="F191" s="26" t="n"/>
      <c r="G191" s="24">
        <f>IFERROR(VLOOKUP(F191, WBS!A$4:B$200, 2, FALSE), "")</f>
        <v/>
      </c>
      <c r="I191" s="5" t="n"/>
    </row>
    <row r="192">
      <c r="A192" s="5" t="n">
        <v>189</v>
      </c>
      <c r="D192" s="21">
        <f>IF(OR(ISBLANK(I192), I192=""), $D$4, INDEX(D$4:D$200, MATCH(I192, A$4:A$200, 0)) + INDEX(E$4:E$200, MATCH(I192, A$4:A$200, 0)))</f>
        <v/>
      </c>
      <c r="E192" s="25" t="n"/>
      <c r="F192" s="26" t="n"/>
      <c r="G192" s="24">
        <f>IFERROR(VLOOKUP(F192, WBS!A$4:B$200, 2, FALSE), "")</f>
        <v/>
      </c>
      <c r="I192" s="5" t="n"/>
    </row>
    <row r="193">
      <c r="A193" s="5" t="n">
        <v>190</v>
      </c>
      <c r="D193" s="21">
        <f>IF(OR(ISBLANK(I193), I193=""), $D$4, INDEX(D$4:D$200, MATCH(I193, A$4:A$200, 0)) + INDEX(E$4:E$200, MATCH(I193, A$4:A$200, 0)))</f>
        <v/>
      </c>
      <c r="E193" s="25" t="n"/>
      <c r="F193" s="26" t="n"/>
      <c r="G193" s="24">
        <f>IFERROR(VLOOKUP(F193, WBS!A$4:B$200, 2, FALSE), "")</f>
        <v/>
      </c>
      <c r="I193" s="5" t="n"/>
    </row>
    <row r="194">
      <c r="A194" s="5" t="n">
        <v>191</v>
      </c>
      <c r="D194" s="21">
        <f>IF(OR(ISBLANK(I194), I194=""), $D$4, INDEX(D$4:D$200, MATCH(I194, A$4:A$200, 0)) + INDEX(E$4:E$200, MATCH(I194, A$4:A$200, 0)))</f>
        <v/>
      </c>
      <c r="E194" s="25" t="n"/>
      <c r="F194" s="26" t="n"/>
      <c r="G194" s="24">
        <f>IFERROR(VLOOKUP(F194, WBS!A$4:B$200, 2, FALSE), "")</f>
        <v/>
      </c>
      <c r="I194" s="5" t="n"/>
    </row>
    <row r="195">
      <c r="A195" s="5" t="n">
        <v>192</v>
      </c>
      <c r="D195" s="21">
        <f>IF(OR(ISBLANK(I195), I195=""), $D$4, INDEX(D$4:D$200, MATCH(I195, A$4:A$200, 0)) + INDEX(E$4:E$200, MATCH(I195, A$4:A$200, 0)))</f>
        <v/>
      </c>
      <c r="E195" s="25" t="n"/>
      <c r="F195" s="26" t="n"/>
      <c r="G195" s="24">
        <f>IFERROR(VLOOKUP(F195, WBS!A$4:B$200, 2, FALSE), "")</f>
        <v/>
      </c>
      <c r="I195" s="5" t="n"/>
    </row>
    <row r="196">
      <c r="A196" s="5" t="n">
        <v>193</v>
      </c>
      <c r="D196" s="21">
        <f>IF(OR(ISBLANK(I196), I196=""), $D$4, INDEX(D$4:D$200, MATCH(I196, A$4:A$200, 0)) + INDEX(E$4:E$200, MATCH(I196, A$4:A$200, 0)))</f>
        <v/>
      </c>
      <c r="E196" s="25" t="n"/>
      <c r="F196" s="26" t="n"/>
      <c r="G196" s="24">
        <f>IFERROR(VLOOKUP(F196, WBS!A$4:B$200, 2, FALSE), "")</f>
        <v/>
      </c>
      <c r="I196" s="5" t="n"/>
    </row>
    <row r="197">
      <c r="A197" s="5" t="n">
        <v>194</v>
      </c>
      <c r="D197" s="21">
        <f>IF(OR(ISBLANK(I197), I197=""), $D$4, INDEX(D$4:D$200, MATCH(I197, A$4:A$200, 0)) + INDEX(E$4:E$200, MATCH(I197, A$4:A$200, 0)))</f>
        <v/>
      </c>
      <c r="E197" s="25" t="n"/>
      <c r="F197" s="26" t="n"/>
      <c r="G197" s="24">
        <f>IFERROR(VLOOKUP(F197, WBS!A$4:B$200, 2, FALSE), "")</f>
        <v/>
      </c>
      <c r="I197" s="5" t="n"/>
    </row>
    <row r="198">
      <c r="A198" s="5" t="n">
        <v>195</v>
      </c>
      <c r="D198" s="21">
        <f>IF(OR(ISBLANK(I198), I198=""), $D$4, INDEX(D$4:D$200, MATCH(I198, A$4:A$200, 0)) + INDEX(E$4:E$200, MATCH(I198, A$4:A$200, 0)))</f>
        <v/>
      </c>
      <c r="E198" s="25" t="n"/>
      <c r="F198" s="26" t="n"/>
      <c r="G198" s="24">
        <f>IFERROR(VLOOKUP(F198, WBS!A$4:B$200, 2, FALSE), "")</f>
        <v/>
      </c>
      <c r="I198" s="5" t="n"/>
    </row>
    <row r="199">
      <c r="A199" s="5" t="n">
        <v>196</v>
      </c>
      <c r="D199" s="21">
        <f>IF(OR(ISBLANK(I199), I199=""), $D$4, INDEX(D$4:D$200, MATCH(I199, A$4:A$200, 0)) + INDEX(E$4:E$200, MATCH(I199, A$4:A$200, 0)))</f>
        <v/>
      </c>
      <c r="E199" s="25" t="n"/>
      <c r="F199" s="26" t="n"/>
      <c r="G199" s="24">
        <f>IFERROR(VLOOKUP(F199, WBS!A$4:B$200, 2, FALSE), "")</f>
        <v/>
      </c>
      <c r="I199" s="5" t="n"/>
    </row>
  </sheetData>
  <conditionalFormatting sqref="J4:BD200">
    <cfRule type="expression" priority="1" dxfId="0">
      <formula>AND(ISNUMBER($D4), ISNUMBER($E4), $B4="Actividad", J$3&gt;=$D4, J$3&lt;($D4+$E4))</formula>
    </cfRule>
    <cfRule type="expression" priority="2" dxfId="1">
      <formula>AND(ISNUMBER($D4), ISNUMBER($E4), $B4="Entregable", J$3&gt;=$D4, J$3&lt;($D4+$E4))</formula>
    </cfRule>
    <cfRule type="expression" priority="3" dxfId="2">
      <formula>AND(ISNUMBER($D4), ISNUMBER($E4), $B4="Reunión", J$3&gt;=$D4, J$3&lt;($D4+$E4))</formula>
    </cfRule>
    <cfRule type="expression" priority="4" dxfId="3">
      <formula>AND(ISNUMBER($D4), ISNUMBER($E4), $B4="Hito", J$3&gt;=$D4, J$3&lt;($D4+$E4))</formula>
    </cfRule>
  </conditionalFormatting>
  <dataValidations count="1">
    <dataValidation sqref="B4:B200" showDropDown="0" showInputMessage="0" showErrorMessage="0" allowBlank="0" type="list">
      <formula1>"Actividad,Entregable,Hito,Reunión"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7" customWidth="1" min="4" max="4"/>
    <col width="17" customWidth="1" min="5" max="5"/>
    <col width="17" customWidth="1" min="6" max="6"/>
    <col width="20" customWidth="1" min="7" max="7"/>
    <col width="14" customWidth="1" min="8" max="8"/>
    <col width="22" customWidth="1" min="9" max="9"/>
    <col width="26" customWidth="1" min="10" max="10"/>
  </cols>
  <sheetData>
    <row r="1">
      <c r="A1" s="1" t="inlineStr">
        <is>
          <t>PASO 4 — RESUMEN DE COSTO DIRECTO CON PRORRATEO DE GASTOS GENERALES</t>
        </is>
      </c>
    </row>
    <row r="2">
      <c r="A2" s="27" t="inlineStr">
        <is>
          <t>🟠 Los Gastos Generales (GAS) se prorratean entre partidas según su % del Costo Directo Base (MAT+MO+SUB+MAQ)</t>
        </is>
      </c>
    </row>
    <row r="3" ht="30" customHeight="1">
      <c r="A3" s="2" t="inlineStr">
        <is>
          <t>N° Partida</t>
        </is>
      </c>
      <c r="B3" s="2" t="inlineStr">
        <is>
          <t>Descripción Partida WBS</t>
        </is>
      </c>
      <c r="C3" s="2" t="inlineStr">
        <is>
          <t>Materiales (MXN)</t>
        </is>
      </c>
      <c r="D3" s="2" t="inlineStr">
        <is>
          <t>Mano de Obra (MXN)</t>
        </is>
      </c>
      <c r="E3" s="2" t="inlineStr">
        <is>
          <t>Subcontratos (MXN)</t>
        </is>
      </c>
      <c r="F3" s="2" t="inlineStr">
        <is>
          <t>Maquinaria (MXN)</t>
        </is>
      </c>
      <c r="G3" s="2" t="inlineStr">
        <is>
          <t>Costo Directo Base</t>
        </is>
      </c>
      <c r="H3" s="2" t="inlineStr">
        <is>
          <t>% sobre Total</t>
        </is>
      </c>
      <c r="I3" s="2" t="inlineStr">
        <is>
          <t>GAS Prorrateado (MXN)</t>
        </is>
      </c>
      <c r="J3" s="2" t="inlineStr">
        <is>
          <t>TOTAL CON GASTOS (MXN)</t>
        </is>
      </c>
    </row>
    <row r="4">
      <c r="A4" s="5" t="n">
        <v>1</v>
      </c>
      <c r="B4" s="3">
        <f>WBS!B4</f>
        <v/>
      </c>
      <c r="C4" s="7">
        <f>SUMIF(MAT!A$4:A$200,A4,MAT!G$4:G$200)</f>
        <v/>
      </c>
      <c r="D4" s="7">
        <f>SUMIF(MO!A$4:A$200,A4,MO!J$4:J$200)</f>
        <v/>
      </c>
      <c r="E4" s="7">
        <f>SUMIF(SUB!A$4:A$200,A4,SUB!I$4:I$200)</f>
        <v/>
      </c>
      <c r="F4" s="7">
        <f>SUMIF(MAQ!A$4:A$200,A4,MAQ!I$4:I$200)</f>
        <v/>
      </c>
      <c r="G4" s="28">
        <f>SUM(C4:F4)</f>
        <v/>
      </c>
      <c r="H4" s="29">
        <f>IFERROR(G4/SUM($G$4:$G$6),0)</f>
        <v/>
      </c>
      <c r="I4" s="30">
        <f>GAS!$F$200 * H4</f>
        <v/>
      </c>
      <c r="J4" s="12">
        <f>G4+I4</f>
        <v/>
      </c>
    </row>
    <row r="5">
      <c r="A5" s="5" t="n">
        <v>2</v>
      </c>
      <c r="B5" s="3">
        <f>WBS!B5</f>
        <v/>
      </c>
      <c r="C5" s="7">
        <f>SUMIF(MAT!A$4:A$200,A5,MAT!G$4:G$200)</f>
        <v/>
      </c>
      <c r="D5" s="7">
        <f>SUMIF(MO!A$4:A$200,A5,MO!J$4:J$200)</f>
        <v/>
      </c>
      <c r="E5" s="7">
        <f>SUMIF(SUB!A$4:A$200,A5,SUB!I$4:I$200)</f>
        <v/>
      </c>
      <c r="F5" s="7">
        <f>SUMIF(MAQ!A$4:A$200,A5,MAQ!I$4:I$200)</f>
        <v/>
      </c>
      <c r="G5" s="28">
        <f>SUM(C5:F5)</f>
        <v/>
      </c>
      <c r="H5" s="29">
        <f>IFERROR(G5/SUM($G$4:$G$6),0)</f>
        <v/>
      </c>
      <c r="I5" s="30">
        <f>GAS!$F$200 * H5</f>
        <v/>
      </c>
      <c r="J5" s="12">
        <f>G5+I5</f>
        <v/>
      </c>
    </row>
    <row r="6">
      <c r="A6" s="5" t="n">
        <v>3</v>
      </c>
      <c r="B6" s="3">
        <f>WBS!B6</f>
        <v/>
      </c>
      <c r="C6" s="7">
        <f>SUMIF(MAT!A$4:A$200,A6,MAT!G$4:G$200)</f>
        <v/>
      </c>
      <c r="D6" s="7">
        <f>SUMIF(MO!A$4:A$200,A6,MO!J$4:J$200)</f>
        <v/>
      </c>
      <c r="E6" s="7">
        <f>SUMIF(SUB!A$4:A$200,A6,SUB!I$4:I$200)</f>
        <v/>
      </c>
      <c r="F6" s="7">
        <f>SUMIF(MAQ!A$4:A$200,A6,MAQ!I$4:I$200)</f>
        <v/>
      </c>
      <c r="G6" s="28">
        <f>SUM(C6:F6)</f>
        <v/>
      </c>
      <c r="H6" s="29">
        <f>IFERROR(G6/SUM($G$4:$G$6),0)</f>
        <v/>
      </c>
      <c r="I6" s="30">
        <f>GAS!$F$200 * H6</f>
        <v/>
      </c>
      <c r="J6" s="12">
        <f>G6+I6</f>
        <v/>
      </c>
    </row>
    <row r="7">
      <c r="B7" s="16" t="inlineStr">
        <is>
          <t>TOTALES:</t>
        </is>
      </c>
      <c r="C7" s="31">
        <f>SUM(C4:C6)</f>
        <v/>
      </c>
      <c r="D7" s="31">
        <f>SUM(D4:D6)</f>
        <v/>
      </c>
      <c r="E7" s="31">
        <f>SUM(E4:E6)</f>
        <v/>
      </c>
      <c r="F7" s="31">
        <f>SUM(F4:F6)</f>
        <v/>
      </c>
      <c r="G7" s="31">
        <f>SUM(G4:G6)</f>
        <v/>
      </c>
      <c r="H7" s="32">
        <f>SUM(H4:H6)</f>
        <v/>
      </c>
      <c r="I7" s="33">
        <f>GAS!$F$200</f>
        <v/>
      </c>
      <c r="J7" s="34">
        <f>SUM(J4:J6)</f>
        <v/>
      </c>
    </row>
    <row r="9">
      <c r="B9" s="35" t="inlineStr">
        <is>
          <t>* GAS!F200 = Celda TOTAL de la hoja GAS (suma de todos los Gastos Generales del proyecto)</t>
        </is>
      </c>
    </row>
    <row r="10">
      <c r="B10" s="35" t="inlineStr">
        <is>
          <t>* % sobre Total = Costo Directo Base de la partida / Total Costo Directo Base del proyecto</t>
        </is>
      </c>
    </row>
    <row r="11">
      <c r="B11" s="35" t="inlineStr">
        <is>
          <t>* GAS Prorrateado = Total GAS × %, distribuyendo el gasto general de forma proporcional al peso de cada partida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42" customWidth="1" min="4" max="4"/>
    <col width="38" customWidth="1" min="5" max="5"/>
    <col width="42" customWidth="1" min="6" max="6"/>
    <col width="32" customWidth="1" min="7" max="7"/>
  </cols>
  <sheetData>
    <row r="1">
      <c r="A1" s="36" t="inlineStr">
        <is>
          <t>PUESTOS_MO</t>
        </is>
      </c>
      <c r="B1" s="36" t="inlineStr">
        <is>
          <t>SUELDO_BASE</t>
        </is>
      </c>
      <c r="C1" s="36" t="inlineStr">
        <is>
          <t>FASAR</t>
        </is>
      </c>
      <c r="D1" s="36" t="inlineStr">
        <is>
          <t>GASTOS_OBRA</t>
        </is>
      </c>
      <c r="E1" s="36" t="inlineStr">
        <is>
          <t>SUBCONTRATOS</t>
        </is>
      </c>
      <c r="F1" s="36" t="inlineStr">
        <is>
          <t>MAQ_EQUIPO</t>
        </is>
      </c>
      <c r="G1" s="36" t="inlineStr">
        <is>
          <t>CLIENTES</t>
        </is>
      </c>
    </row>
    <row r="2">
      <c r="A2" t="inlineStr">
        <is>
          <t>Diseñador de Controles</t>
        </is>
      </c>
      <c r="B2" s="7" t="n">
        <v>5500</v>
      </c>
      <c r="C2" s="37" t="n">
        <v>1.45</v>
      </c>
      <c r="D2" t="inlineStr">
        <is>
          <t>Pasajes y Fletes Especiales Obra</t>
        </is>
      </c>
      <c r="E2" t="inlineStr">
        <is>
          <t>Arrendamiento de Grúa Telescópica</t>
        </is>
      </c>
      <c r="F2" t="inlineStr">
        <is>
          <t>Combustibles de Camionetas y Maquinaria</t>
        </is>
      </c>
      <c r="G2" t="inlineStr">
        <is>
          <t>J&amp;D AUTOMATION INTERNO</t>
        </is>
      </c>
    </row>
    <row r="3">
      <c r="A3" t="inlineStr">
        <is>
          <t>Ingeniero de Control</t>
        </is>
      </c>
      <c r="B3" s="7" t="n">
        <v>5500</v>
      </c>
      <c r="C3" s="37" t="n">
        <v>1.45</v>
      </c>
      <c r="D3" t="inlineStr">
        <is>
          <t>Combustibles de Camionetas y Maquinaria</t>
        </is>
      </c>
      <c r="E3" t="inlineStr">
        <is>
          <t>Corte Láser / Pantógrafo Placas</t>
        </is>
      </c>
      <c r="F3" t="inlineStr">
        <is>
          <t>Mantenimiento a Equipo Cómputo/Pruebas</t>
        </is>
      </c>
      <c r="G3" t="inlineStr">
        <is>
          <t>OH - GABINETES Y AUTOMATIZACION</t>
        </is>
      </c>
    </row>
    <row r="4">
      <c r="A4" t="inlineStr">
        <is>
          <t>Programador PLC / Robot</t>
        </is>
      </c>
      <c r="B4" s="7" t="n">
        <v>4500</v>
      </c>
      <c r="C4" s="37" t="n">
        <v>1.45</v>
      </c>
      <c r="D4" t="inlineStr">
        <is>
          <t>Comisiones Bancarias por Proyecto</t>
        </is>
      </c>
      <c r="E4" t="inlineStr">
        <is>
          <t>Fabricación de Gabinetes Eléctricos</t>
        </is>
      </c>
      <c r="F4" t="inlineStr">
        <is>
          <t>Arrendamiento de Equipo y Herramienta</t>
        </is>
      </c>
      <c r="G4" t="inlineStr">
        <is>
          <t>TREBOTTI</t>
        </is>
      </c>
    </row>
    <row r="5">
      <c r="A5" t="inlineStr">
        <is>
          <t>Tablerista</t>
        </is>
      </c>
      <c r="B5" s="7" t="n">
        <v>4500</v>
      </c>
      <c r="C5" s="37" t="n">
        <v>1.45</v>
      </c>
      <c r="D5" t="inlineStr">
        <is>
          <t>Hospedaje de Cuadrillas de Obra</t>
        </is>
      </c>
      <c r="E5" t="inlineStr">
        <is>
          <t>Grúa 20 Ton</t>
        </is>
      </c>
      <c r="F5" t="inlineStr">
        <is>
          <t>Hospedaje y Renta de Personal</t>
        </is>
      </c>
      <c r="G5" t="inlineStr">
        <is>
          <t>YESA - YESO Y MOLDURAS</t>
        </is>
      </c>
    </row>
    <row r="6">
      <c r="A6" t="inlineStr">
        <is>
          <t>Eléctricos</t>
        </is>
      </c>
      <c r="B6" s="7" t="n">
        <v>3800</v>
      </c>
      <c r="C6" s="37" t="n">
        <v>1.45</v>
      </c>
      <c r="D6" t="inlineStr">
        <is>
          <t>Uniformes y Ropa de Trabajo EPP</t>
        </is>
      </c>
      <c r="E6" t="inlineStr">
        <is>
          <t>Maquinado CNC / Torno de Piezas</t>
        </is>
      </c>
      <c r="F6" t="inlineStr">
        <is>
          <t>Maquinaria y Equipo Menor de Obra</t>
        </is>
      </c>
    </row>
    <row r="7">
      <c r="A7" t="inlineStr">
        <is>
          <t>Diseñador Mecánico</t>
        </is>
      </c>
      <c r="B7" s="7" t="n">
        <v>3500</v>
      </c>
      <c r="C7" s="37" t="n">
        <v>1.45</v>
      </c>
      <c r="D7" t="inlineStr">
        <is>
          <t>IVA Deducción No Acreditable Obra</t>
        </is>
      </c>
      <c r="E7" t="inlineStr">
        <is>
          <t>Montacargas y Maniobras de Carga</t>
        </is>
      </c>
      <c r="F7" t="inlineStr">
        <is>
          <t>Renta de Mediciones e Instrumentos</t>
        </is>
      </c>
    </row>
    <row r="8">
      <c r="A8" t="inlineStr">
        <is>
          <t>Mecánicos</t>
        </is>
      </c>
      <c r="B8" s="7" t="n">
        <v>3000</v>
      </c>
      <c r="C8" s="37" t="n">
        <v>1.45</v>
      </c>
      <c r="D8" t="inlineStr">
        <is>
          <t>Gastos Médicos y Botiquín de Campo</t>
        </is>
      </c>
      <c r="E8" t="inlineStr">
        <is>
          <t>Pintura Electrostática / Horneado</t>
        </is>
      </c>
      <c r="F8" t="inlineStr">
        <is>
          <t>Seguros de Equipo y Pólizas de Propiedad</t>
        </is>
      </c>
    </row>
    <row r="9">
      <c r="A9" t="inlineStr">
        <is>
          <t>Montadores</t>
        </is>
      </c>
      <c r="B9" s="7" t="n">
        <v>2800</v>
      </c>
      <c r="C9" s="37" t="n">
        <v>1.45</v>
      </c>
      <c r="D9" t="inlineStr">
        <is>
          <t>Gastos No Deducibles de Obra</t>
        </is>
      </c>
      <c r="E9" t="inlineStr">
        <is>
          <t>Programación Especializada PLC / HMI</t>
        </is>
      </c>
      <c r="F9" t="inlineStr">
        <is>
          <t>Fletes de Materiales y Equipos</t>
        </is>
      </c>
    </row>
    <row r="10">
      <c r="A10" t="inlineStr">
        <is>
          <t>Dibujante</t>
        </is>
      </c>
      <c r="B10" s="7" t="n">
        <v>2500</v>
      </c>
      <c r="C10" s="37" t="n">
        <v>1.45</v>
      </c>
      <c r="D10" t="inlineStr">
        <is>
          <t>Mantenimiento a Vehículos de Obra</t>
        </is>
      </c>
      <c r="E10" t="inlineStr">
        <is>
          <t>Pruebas NDT / Ensayos No Destructivos</t>
        </is>
      </c>
      <c r="F10" t="inlineStr">
        <is>
          <t>Combustible para Vehículos y Equipos</t>
        </is>
      </c>
    </row>
    <row r="11">
      <c r="A11" t="inlineStr">
        <is>
          <t>Ayudantes</t>
        </is>
      </c>
      <c r="B11" s="7" t="n">
        <v>2500</v>
      </c>
      <c r="C11" s="37" t="n">
        <v>1.45</v>
      </c>
      <c r="D11" t="inlineStr">
        <is>
          <t>Adquisiciones Directas para Personal</t>
        </is>
      </c>
    </row>
    <row r="12">
      <c r="A12" t="inlineStr">
        <is>
          <t>Supervisor de Obra</t>
        </is>
      </c>
      <c r="B12" s="7" t="n">
        <v>6000</v>
      </c>
      <c r="C12" s="37" t="n">
        <v>1.45</v>
      </c>
      <c r="D12" t="inlineStr">
        <is>
          <t>Viáticos Externos de Campo</t>
        </is>
      </c>
    </row>
    <row r="13">
      <c r="D13" t="inlineStr">
        <is>
          <t>Comisionistas y Agentes Externos</t>
        </is>
      </c>
    </row>
    <row r="14">
      <c r="D14" t="inlineStr">
        <is>
          <t>Casetas y Peajes de Carretera</t>
        </is>
      </c>
    </row>
    <row r="15">
      <c r="D15" t="inlineStr">
        <is>
          <t>Fletes Especializados de Traslado</t>
        </is>
      </c>
    </row>
    <row r="16">
      <c r="D16" t="inlineStr">
        <is>
          <t>Herramientas Menores y Refacciones Campo</t>
        </is>
      </c>
    </row>
    <row r="17">
      <c r="D17" t="inlineStr">
        <is>
          <t>Maniobras de Carga y Almacén</t>
        </is>
      </c>
    </row>
    <row r="18">
      <c r="D18" t="inlineStr">
        <is>
          <t>Agua Potable y Pipas de Obra</t>
        </is>
      </c>
    </row>
    <row r="19">
      <c r="D19" t="inlineStr">
        <is>
          <t>Luz y Energía Temporal Obra</t>
        </is>
      </c>
    </row>
    <row r="20">
      <c r="D20" t="inlineStr">
        <is>
          <t>Mantenimiento a Equipo Cómputo/Pruebas</t>
        </is>
      </c>
    </row>
    <row r="21">
      <c r="D21" t="inlineStr">
        <is>
          <t>Mano de Obra Paga Directa</t>
        </is>
      </c>
    </row>
    <row r="22">
      <c r="D22" t="inlineStr">
        <is>
          <t>Honorarios Asimilados a Salarios</t>
        </is>
      </c>
    </row>
    <row r="23">
      <c r="D23" t="inlineStr">
        <is>
          <t>Pagos a Mano de Obra Externa</t>
        </is>
      </c>
    </row>
    <row r="24">
      <c r="D24" t="inlineStr">
        <is>
          <t>Herramientas y Accesorios de Obra</t>
        </is>
      </c>
    </row>
    <row r="25">
      <c r="D25" t="inlineStr">
        <is>
          <t>Arrendamiento de Equipo y Herramienta</t>
        </is>
      </c>
    </row>
    <row r="26">
      <c r="D26" t="inlineStr">
        <is>
          <t>Hospedaje y Renta de Personal</t>
        </is>
      </c>
    </row>
    <row r="27">
      <c r="D27" t="inlineStr">
        <is>
          <t>Transporte y Traslados de Personal</t>
        </is>
      </c>
    </row>
    <row r="28">
      <c r="D28" t="inlineStr">
        <is>
          <t>Consumibles de Oficina e Industrial</t>
        </is>
      </c>
    </row>
    <row r="29">
      <c r="D29" t="inlineStr">
        <is>
          <t>Fletes y Acarreos Especiales</t>
        </is>
      </c>
    </row>
    <row r="30">
      <c r="D30" t="inlineStr">
        <is>
          <t>Maquinaria y Equipo Menor de Obra</t>
        </is>
      </c>
    </row>
    <row r="31">
      <c r="D31" t="inlineStr">
        <is>
          <t>Autorizaciones y Permisos Especiales</t>
        </is>
      </c>
    </row>
    <row r="32">
      <c r="D32" t="inlineStr">
        <is>
          <t>Mantenimiento a Vehículos de Empresa</t>
        </is>
      </c>
    </row>
    <row r="33">
      <c r="D33" t="inlineStr">
        <is>
          <t>Mantenimiento de Instalaciones y Taller</t>
        </is>
      </c>
    </row>
    <row r="34">
      <c r="D34" t="inlineStr">
        <is>
          <t>Renta de Mediciones e Instrumentos</t>
        </is>
      </c>
    </row>
    <row r="35">
      <c r="D35" t="inlineStr">
        <is>
          <t>Agua Potable y Drenaje</t>
        </is>
      </c>
    </row>
    <row r="36">
      <c r="D36" t="inlineStr">
        <is>
          <t>Electricidad y Energía Eléctrica</t>
        </is>
      </c>
    </row>
    <row r="37">
      <c r="D37" t="inlineStr">
        <is>
          <t>Mantenimiento a Activos Propios</t>
        </is>
      </c>
    </row>
    <row r="38">
      <c r="D38" t="inlineStr">
        <is>
          <t>Seguros de Responsabilidad Civil</t>
        </is>
      </c>
    </row>
    <row r="39">
      <c r="D39" t="inlineStr">
        <is>
          <t>Seguros de Equipo y Pólizas de Propiedad</t>
        </is>
      </c>
    </row>
    <row r="40">
      <c r="D40" t="inlineStr">
        <is>
          <t>Limpieza y Mantenimiento de Espacios de Obra</t>
        </is>
      </c>
    </row>
    <row r="41">
      <c r="D41" t="inlineStr">
        <is>
          <t>Gastos de Viaje Generales</t>
        </is>
      </c>
    </row>
    <row r="42">
      <c r="D42" t="inlineStr">
        <is>
          <t>Comisiones Bancarias y Financieras</t>
        </is>
      </c>
    </row>
    <row r="43">
      <c r="D43" t="inlineStr">
        <is>
          <t>Propaganda y Publicidad Comercial</t>
        </is>
      </c>
    </row>
    <row r="44">
      <c r="D44" t="inlineStr">
        <is>
          <t>Papelería y Utilería de Oficina</t>
        </is>
      </c>
    </row>
    <row r="45">
      <c r="D45" t="inlineStr">
        <is>
          <t>Fletes de Materiales y Equipos</t>
        </is>
      </c>
    </row>
    <row r="46">
      <c r="D46" t="inlineStr">
        <is>
          <t>Licencias de Software de Ingeniería/CAD</t>
        </is>
      </c>
    </row>
    <row r="47">
      <c r="D47" t="inlineStr">
        <is>
          <t>Teléfonos, Internet y Comunicaciones</t>
        </is>
      </c>
    </row>
    <row r="48">
      <c r="D48" t="inlineStr">
        <is>
          <t>Capacitación y Certificaciones de Personal</t>
        </is>
      </c>
    </row>
    <row r="49">
      <c r="D49" t="inlineStr">
        <is>
          <t>Honorarios Profesionales Personas Físicas</t>
        </is>
      </c>
    </row>
    <row r="50">
      <c r="D50" t="inlineStr">
        <is>
          <t>Honorarios Personas Morales (Empresas)</t>
        </is>
      </c>
    </row>
    <row r="51">
      <c r="D51" t="inlineStr">
        <is>
          <t>Insumos de Aseo y Limpieza</t>
        </is>
      </c>
    </row>
    <row r="52">
      <c r="D52" t="inlineStr">
        <is>
          <t>Combustible para Vehículos y Equipos</t>
        </is>
      </c>
    </row>
    <row r="53">
      <c r="D53" t="inlineStr">
        <is>
          <t>Impuestos y Derechos Estatales/Federales</t>
        </is>
      </c>
    </row>
    <row r="54">
      <c r="D54" t="inlineStr">
        <is>
          <t>Impuestos y Licencias Locales</t>
        </is>
      </c>
    </row>
    <row r="55">
      <c r="D55" t="inlineStr">
        <is>
          <t>Pasajes de Autobús y Transporte Urbano</t>
        </is>
      </c>
    </row>
    <row r="56">
      <c r="D56" t="inlineStr">
        <is>
          <t>Asesoria Técnica Especializada Externa</t>
        </is>
      </c>
    </row>
    <row r="57">
      <c r="D57" t="inlineStr">
        <is>
          <t>Herramientas Menores de Campo</t>
        </is>
      </c>
    </row>
    <row r="58">
      <c r="D58" t="inlineStr">
        <is>
          <t>Insumos y Materiales Menores de Obra</t>
        </is>
      </c>
    </row>
    <row r="59">
      <c r="D59" t="inlineStr">
        <is>
          <t>Viáticos y Gastos de Transporte Campo</t>
        </is>
      </c>
    </row>
    <row r="60">
      <c r="D60" t="inlineStr">
        <is>
          <t>Alimentos y Dietas en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2026-07-30T20:03:36Z</dcterms:created>
  <dcterms:modified xmlns:dcterms="http://purl.org/dc/terms/" xmlns:xsi="http://www.w3.org/2001/XMLSchema-instance" xsi:type="dcterms:W3CDTF">2026-07-30T20:03:36Z</dcterms:modified>
</cp:coreProperties>
</file>